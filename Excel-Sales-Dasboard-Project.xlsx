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8B0ACCA4-C389-49D4-9026-19F2044910E2}" xr6:coauthVersionLast="47" xr6:coauthVersionMax="47" xr10:uidLastSave="{00000000-0000-0000-0000-000000000000}"/>
  <bookViews>
    <workbookView xWindow="-110" yWindow="-110" windowWidth="19420" windowHeight="10300" activeTab="3" xr2:uid="{BB3FA8B3-2969-4351-AB95-EFD6927A8788}"/>
  </bookViews>
  <sheets>
    <sheet name="MessySalesTable" sheetId="2" r:id="rId1"/>
    <sheet name="CleanSalesTable" sheetId="1" r:id="rId2"/>
    <sheet name="SalesPivotTable" sheetId="8" r:id="rId3"/>
    <sheet name="SalesDashboard" sheetId="9" r:id="rId4"/>
  </sheets>
  <definedNames>
    <definedName name="NativeTimeline_Date">#N/A</definedName>
    <definedName name="Slicer_CustomerName">#N/A</definedName>
    <definedName name="Slicer_Date">#N/A</definedName>
    <definedName name="Slicer_Product">#N/A</definedName>
    <definedName name="Slicer_Region">#N/A</definedName>
    <definedName name="Slicer_SalesRep">#N/A</definedName>
    <definedName name="Slicer_Total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1" l="1"/>
  <c r="B3" i="9" s="1"/>
  <c r="A3" i="9"/>
  <c r="K10" i="9"/>
  <c r="K11" i="9"/>
  <c r="K7" i="9"/>
  <c r="K8" i="9"/>
  <c r="K9" i="9"/>
  <c r="D3" i="9"/>
  <c r="G3" i="9"/>
  <c r="K5" i="9"/>
  <c r="K6" i="9"/>
  <c r="O2" i="1"/>
  <c r="O3" i="1"/>
  <c r="O4" i="1"/>
  <c r="O5" i="1"/>
  <c r="O6" i="1"/>
  <c r="O7" i="1"/>
  <c r="O8" i="1"/>
  <c r="I2" i="1"/>
  <c r="I8" i="1"/>
  <c r="I10" i="1"/>
  <c r="I18" i="1"/>
  <c r="I28" i="1"/>
  <c r="I15" i="1"/>
  <c r="I27" i="1"/>
  <c r="I30" i="1"/>
  <c r="I31" i="1"/>
  <c r="I21" i="1"/>
  <c r="I6" i="1"/>
  <c r="I22" i="1"/>
  <c r="I23" i="1"/>
  <c r="I24" i="1"/>
  <c r="I29" i="1"/>
  <c r="I25" i="1"/>
  <c r="I26" i="1"/>
  <c r="I14" i="1"/>
  <c r="I11" i="1"/>
  <c r="I19" i="1"/>
  <c r="I12" i="1"/>
  <c r="I20" i="1"/>
  <c r="I4" i="1"/>
  <c r="I13" i="1"/>
  <c r="I16" i="1"/>
  <c r="I7" i="1"/>
  <c r="I17" i="1"/>
  <c r="I3" i="1"/>
  <c r="O19" i="1" s="1"/>
  <c r="L9" i="9" s="1"/>
  <c r="I5" i="1"/>
  <c r="O20" i="1" s="1"/>
  <c r="L10" i="9" s="1"/>
  <c r="I9" i="1"/>
  <c r="O21" i="1" s="1"/>
  <c r="L11" i="9" s="1"/>
  <c r="O18" i="1" l="1"/>
  <c r="L8" i="9" s="1"/>
  <c r="O17" i="1"/>
  <c r="L7" i="9" s="1"/>
  <c r="O16" i="1"/>
  <c r="L6" i="9" s="1"/>
  <c r="O15" i="1"/>
  <c r="L5" i="9" s="1"/>
  <c r="O14" i="1"/>
  <c r="H3" i="9" s="1"/>
  <c r="O13" i="1"/>
  <c r="E3" i="9" s="1"/>
  <c r="P15" i="1" l="1"/>
  <c r="P16" i="1" s="1"/>
  <c r="K4" i="9" s="1"/>
  <c r="K3" i="9" l="1"/>
</calcChain>
</file>

<file path=xl/sharedStrings.xml><?xml version="1.0" encoding="utf-8"?>
<sst xmlns="http://schemas.openxmlformats.org/spreadsheetml/2006/main" count="558" uniqueCount="142">
  <si>
    <t>OrderID</t>
  </si>
  <si>
    <t>Date</t>
  </si>
  <si>
    <t>CustomerName</t>
  </si>
  <si>
    <t>Product</t>
  </si>
  <si>
    <t>Qty</t>
  </si>
  <si>
    <t>UnitPrice</t>
  </si>
  <si>
    <t>Region</t>
  </si>
  <si>
    <t>SalesRep</t>
  </si>
  <si>
    <t>Status</t>
  </si>
  <si>
    <t>LeadSource</t>
  </si>
  <si>
    <t>Notes</t>
  </si>
  <si>
    <t>23/03/2025</t>
  </si>
  <si>
    <t xml:space="preserve">Jane Doe </t>
  </si>
  <si>
    <t>Widget B</t>
  </si>
  <si>
    <t>London</t>
  </si>
  <si>
    <t>A. Smith</t>
  </si>
  <si>
    <t>Completed</t>
  </si>
  <si>
    <t>Email</t>
  </si>
  <si>
    <t>Lisa O'neil</t>
  </si>
  <si>
    <t>Widget D</t>
  </si>
  <si>
    <t>Leeds</t>
  </si>
  <si>
    <t>D. Green</t>
  </si>
  <si>
    <t>Web</t>
  </si>
  <si>
    <t>19/03/2025</t>
  </si>
  <si>
    <t>Jane-Doe</t>
  </si>
  <si>
    <t>LONDON</t>
  </si>
  <si>
    <t>13/03/2025</t>
  </si>
  <si>
    <t>Mary Johnson</t>
  </si>
  <si>
    <t xml:space="preserve">London </t>
  </si>
  <si>
    <t xml:space="preserve"> Mary Johnson</t>
  </si>
  <si>
    <t>Widget C</t>
  </si>
  <si>
    <t>steve o'brien</t>
  </si>
  <si>
    <t>Â£45.50</t>
  </si>
  <si>
    <t>Manchester</t>
  </si>
  <si>
    <t>B. O'Connor</t>
  </si>
  <si>
    <t>24/03/2025</t>
  </si>
  <si>
    <t>20/03/2025</t>
  </si>
  <si>
    <t>Mary  Johnson</t>
  </si>
  <si>
    <t>Pending</t>
  </si>
  <si>
    <t>missing qty</t>
  </si>
  <si>
    <t>ACME corp</t>
  </si>
  <si>
    <t>Birmingham</t>
  </si>
  <si>
    <t>C. Patel</t>
  </si>
  <si>
    <t>international</t>
  </si>
  <si>
    <t>Jane Doe</t>
  </si>
  <si>
    <t>Widget A</t>
  </si>
  <si>
    <t>Referral</t>
  </si>
  <si>
    <t>Paid via bank</t>
  </si>
  <si>
    <t>jane doe</t>
  </si>
  <si>
    <t xml:space="preserve"> London</t>
  </si>
  <si>
    <t xml:space="preserve"> </t>
  </si>
  <si>
    <t>ACME CORP</t>
  </si>
  <si>
    <t>John Smith</t>
  </si>
  <si>
    <t>Phone</t>
  </si>
  <si>
    <t>Bob</t>
  </si>
  <si>
    <t>45,50</t>
  </si>
  <si>
    <t>2025.03.09</t>
  </si>
  <si>
    <t>Anne  Marie</t>
  </si>
  <si>
    <t>B'ham</t>
  </si>
  <si>
    <t xml:space="preserve">john smith </t>
  </si>
  <si>
    <t>Email Campaign</t>
  </si>
  <si>
    <t xml:space="preserve">  Mary  Johnson</t>
  </si>
  <si>
    <t>london</t>
  </si>
  <si>
    <t>urgent</t>
  </si>
  <si>
    <t>21/03/2025</t>
  </si>
  <si>
    <t>Â£60.00</t>
  </si>
  <si>
    <t xml:space="preserve">Birmingham </t>
  </si>
  <si>
    <t>17/03/2025</t>
  </si>
  <si>
    <t>two</t>
  </si>
  <si>
    <t>qty as text</t>
  </si>
  <si>
    <t>22/03/2025</t>
  </si>
  <si>
    <t>Paul Akporarhe</t>
  </si>
  <si>
    <t>Widget G</t>
  </si>
  <si>
    <t>Abuja</t>
  </si>
  <si>
    <t>P. Akporarhe</t>
  </si>
  <si>
    <t>Direct</t>
  </si>
  <si>
    <t>internal test</t>
  </si>
  <si>
    <t>14/03/2025</t>
  </si>
  <si>
    <t>JANE DOE</t>
  </si>
  <si>
    <t>25/03/2025</t>
  </si>
  <si>
    <t>ACME Corp.</t>
  </si>
  <si>
    <t>24,50</t>
  </si>
  <si>
    <t>16/03/2025</t>
  </si>
  <si>
    <t>O'Connor, Brian</t>
  </si>
  <si>
    <t xml:space="preserve">ACME CORP  </t>
  </si>
  <si>
    <t>Mary-Jane</t>
  </si>
  <si>
    <t>Widget E</t>
  </si>
  <si>
    <t>special price</t>
  </si>
  <si>
    <t>15-03-2025</t>
  </si>
  <si>
    <t>Unknown</t>
  </si>
  <si>
    <t>Widget F</t>
  </si>
  <si>
    <t>needs follow-up</t>
  </si>
  <si>
    <t>Lisa O'Neil</t>
  </si>
  <si>
    <t>Anne Marie</t>
  </si>
  <si>
    <t/>
  </si>
  <si>
    <t>Steve O'Brien</t>
  </si>
  <si>
    <t>Acme Corp</t>
  </si>
  <si>
    <t>Sum of UnitPrice</t>
  </si>
  <si>
    <t>Column Labels</t>
  </si>
  <si>
    <t>Row Labels</t>
  </si>
  <si>
    <t>Grand Total</t>
  </si>
  <si>
    <t>Sum of Qty</t>
  </si>
  <si>
    <t>O'Connor Brian</t>
  </si>
  <si>
    <t>Mary Jane</t>
  </si>
  <si>
    <t>TotalSales</t>
  </si>
  <si>
    <t>Jeffery Donovan</t>
  </si>
  <si>
    <t>Alice Undav</t>
  </si>
  <si>
    <t>Sum of TotalSales</t>
  </si>
  <si>
    <t>Price</t>
  </si>
  <si>
    <t>california</t>
  </si>
  <si>
    <t>Count of TotalSales</t>
  </si>
  <si>
    <t>Percentage of TotalSales</t>
  </si>
  <si>
    <t>Mar</t>
  </si>
  <si>
    <t>1-Mar</t>
  </si>
  <si>
    <t>7-Mar</t>
  </si>
  <si>
    <t>9-Mar</t>
  </si>
  <si>
    <t>13-Mar</t>
  </si>
  <si>
    <t>14-Mar</t>
  </si>
  <si>
    <t>17-Mar</t>
  </si>
  <si>
    <t>19-Mar</t>
  </si>
  <si>
    <t>20-Mar</t>
  </si>
  <si>
    <t>23-Mar</t>
  </si>
  <si>
    <t>24-Mar</t>
  </si>
  <si>
    <t>TotalOrders</t>
  </si>
  <si>
    <t>TotalRevenue</t>
  </si>
  <si>
    <t>AvgOrderValue</t>
  </si>
  <si>
    <t>Count of UnitPrice</t>
  </si>
  <si>
    <t>Count of Qty</t>
  </si>
  <si>
    <t>Percentage of UnitPrice</t>
  </si>
  <si>
    <t>Sum of TotalSales in Region</t>
  </si>
  <si>
    <t>Count of TotalSales in Region</t>
  </si>
  <si>
    <t>Percentage of TotalSales in Region</t>
  </si>
  <si>
    <t>Percentageof Qty</t>
  </si>
  <si>
    <t>top product</t>
  </si>
  <si>
    <t>Products</t>
  </si>
  <si>
    <t>SALES PERFORMANCE DASHBOARD</t>
  </si>
  <si>
    <t>Feb</t>
  </si>
  <si>
    <t>3-Feb</t>
  </si>
  <si>
    <t>Apr</t>
  </si>
  <si>
    <t>3-Apr</t>
  </si>
  <si>
    <t>Nov</t>
  </si>
  <si>
    <t>3-Nov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</si>
</sst>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409]#,##0.00"/>
    <numFmt numFmtId="165" formatCode="[$-409]d\-mmm\-yyyy;@"/>
    <numFmt numFmtId="166" formatCode="_(&quot;$&quot;* #,##0_);_(&quot;$&quot;* \(#,##0\);_(&quot;$&quot;* &quot;-&quot;??_);_(@_)"/>
  </numFmts>
  <fonts count="25">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8"/>
      <name val="Corbel"/>
      <family val="2"/>
      <scheme val="minor"/>
    </font>
    <font>
      <sz val="10"/>
      <color theme="1"/>
      <name val="Arial Unicode MS"/>
    </font>
    <font>
      <b/>
      <sz val="20"/>
      <color theme="1"/>
      <name val="Corbel"/>
      <family val="2"/>
      <scheme val="minor"/>
    </font>
    <font>
      <b/>
      <sz val="16"/>
      <color theme="1"/>
      <name val="Corbel"/>
      <family val="2"/>
      <scheme val="minor"/>
    </font>
    <font>
      <b/>
      <sz val="22"/>
      <color theme="1"/>
      <name val="Corbel"/>
      <family val="2"/>
      <scheme val="minor"/>
    </font>
    <font>
      <b/>
      <sz val="14"/>
      <color theme="1"/>
      <name val="Corbel"/>
      <family val="2"/>
      <scheme val="minor"/>
    </font>
    <font>
      <b/>
      <sz val="24"/>
      <color theme="0"/>
      <name val="Corbe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1"/>
        <bgColor indexed="64"/>
      </patternFill>
    </fill>
    <fill>
      <patternFill patternType="solid">
        <fgColor theme="9"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6">
    <xf numFmtId="0" fontId="0" fillId="0" borderId="0" xfId="0"/>
    <xf numFmtId="15" fontId="0" fillId="0" borderId="0" xfId="0" applyNumberFormat="1"/>
    <xf numFmtId="14" fontId="0" fillId="0" borderId="0" xfId="0" applyNumberFormat="1"/>
    <xf numFmtId="8" fontId="0" fillId="0" borderId="0" xfId="0" applyNumberFormat="1"/>
    <xf numFmtId="164" fontId="19" fillId="0" borderId="0" xfId="0" applyNumberFormat="1" applyFont="1" applyAlignment="1">
      <alignment vertical="center"/>
    </xf>
    <xf numFmtId="164" fontId="0" fillId="0" borderId="0" xfId="0" applyNumberFormat="1"/>
    <xf numFmtId="165"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5" fontId="0" fillId="0" borderId="0" xfId="0" applyNumberFormat="1" applyAlignment="1">
      <alignment horizontal="left" indent="2"/>
    </xf>
    <xf numFmtId="0" fontId="21" fillId="34" borderId="10" xfId="0" applyFont="1" applyFill="1" applyBorder="1" applyAlignment="1">
      <alignment vertical="top"/>
    </xf>
    <xf numFmtId="0" fontId="22" fillId="34" borderId="11" xfId="0" applyFont="1" applyFill="1" applyBorder="1" applyAlignment="1">
      <alignment vertical="top"/>
    </xf>
    <xf numFmtId="0" fontId="0" fillId="0" borderId="0" xfId="0" applyAlignment="1">
      <alignment vertical="top"/>
    </xf>
    <xf numFmtId="0" fontId="21" fillId="35" borderId="10" xfId="0" applyFont="1" applyFill="1" applyBorder="1" applyAlignment="1">
      <alignment vertical="top"/>
    </xf>
    <xf numFmtId="0" fontId="20" fillId="35" borderId="11" xfId="0" applyFont="1" applyFill="1" applyBorder="1" applyAlignment="1">
      <alignment vertical="top"/>
    </xf>
    <xf numFmtId="0" fontId="21" fillId="33" borderId="10" xfId="0" applyFont="1" applyFill="1" applyBorder="1" applyAlignment="1">
      <alignment vertical="top"/>
    </xf>
    <xf numFmtId="0" fontId="22" fillId="33" borderId="11" xfId="0" applyFont="1" applyFill="1" applyBorder="1" applyAlignment="1">
      <alignment vertical="top"/>
    </xf>
    <xf numFmtId="0" fontId="20" fillId="37" borderId="12" xfId="0" applyFont="1" applyFill="1" applyBorder="1" applyAlignment="1">
      <alignment vertical="top"/>
    </xf>
    <xf numFmtId="166" fontId="20" fillId="37" borderId="13" xfId="42" applyNumberFormat="1" applyFont="1" applyFill="1" applyBorder="1" applyAlignment="1">
      <alignment vertical="top"/>
    </xf>
    <xf numFmtId="0" fontId="0" fillId="37" borderId="14" xfId="0" applyFill="1" applyBorder="1"/>
    <xf numFmtId="0" fontId="20" fillId="37" borderId="15" xfId="0" applyFont="1" applyFill="1" applyBorder="1" applyAlignment="1">
      <alignment vertical="top"/>
    </xf>
    <xf numFmtId="0" fontId="20" fillId="37" borderId="0" xfId="0" applyFont="1" applyFill="1" applyAlignment="1">
      <alignment vertical="top"/>
    </xf>
    <xf numFmtId="0" fontId="0" fillId="37" borderId="16" xfId="0" applyFill="1" applyBorder="1"/>
    <xf numFmtId="0" fontId="23" fillId="37" borderId="15" xfId="0" applyFont="1" applyFill="1" applyBorder="1" applyAlignment="1">
      <alignment vertical="top"/>
    </xf>
    <xf numFmtId="0" fontId="23" fillId="37" borderId="0" xfId="0" applyFont="1" applyFill="1" applyAlignment="1">
      <alignment vertical="top"/>
    </xf>
    <xf numFmtId="166" fontId="23" fillId="37" borderId="16" xfId="42" applyNumberFormat="1" applyFont="1" applyFill="1" applyBorder="1" applyAlignment="1">
      <alignment vertical="top"/>
    </xf>
    <xf numFmtId="0" fontId="23" fillId="37" borderId="17" xfId="0" applyFont="1" applyFill="1" applyBorder="1" applyAlignment="1">
      <alignment vertical="top"/>
    </xf>
    <xf numFmtId="0" fontId="23" fillId="37" borderId="18" xfId="0" applyFont="1" applyFill="1" applyBorder="1" applyAlignment="1">
      <alignment vertical="top"/>
    </xf>
    <xf numFmtId="166" fontId="23" fillId="37" borderId="19" xfId="42" applyNumberFormat="1" applyFont="1" applyFill="1" applyBorder="1" applyAlignment="1">
      <alignment vertical="top"/>
    </xf>
    <xf numFmtId="0" fontId="24" fillId="36" borderId="15" xfId="0" applyFont="1" applyFill="1" applyBorder="1" applyAlignment="1">
      <alignment horizontal="center"/>
    </xf>
    <xf numFmtId="0" fontId="24" fillId="36"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409]#,##0.0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orbel"/>
        <family val="2"/>
        <scheme val="minor"/>
      </font>
      <alignment horizontal="center" vertical="center" textRotation="0" wrapText="1" indent="0" justifyLastLine="0" shrinkToFit="0" readingOrder="0"/>
    </dxf>
    <dxf>
      <numFmt numFmtId="164" formatCode="[$$-409]#,##0.00"/>
    </dxf>
    <dxf>
      <numFmt numFmtId="165" formatCode="[$-409]d\-mmm\-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36513670166229217"/>
          <c:w val="0.70884208223972001"/>
          <c:h val="0.59421733741615634"/>
        </c:manualLayout>
      </c:layout>
      <c:pie3DChart>
        <c:varyColors val="1"/>
        <c:ser>
          <c:idx val="0"/>
          <c:order val="0"/>
          <c:tx>
            <c:strRef>
              <c:f>SalesPivotTable!$G$50</c:f>
              <c:strCache>
                <c:ptCount val="1"/>
                <c:pt idx="0">
                  <c:v>Sum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41-4DC6-B46A-1B7774E7C39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E87-47C2-8073-8E14B6CD3A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E87-47C2-8073-8E14B6CD3AA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E87-47C2-8073-8E14B6CD3AA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E87-47C2-8073-8E14B6CD3AA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E87-47C2-8073-8E14B6CD3AA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E87-47C2-8073-8E14B6CD3AA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E87-47C2-8073-8E14B6CD3AA0}"/>
              </c:ext>
            </c:extLst>
          </c:dPt>
          <c:cat>
            <c:strRef>
              <c:f>SalesPivotTable!$F$51:$F$54</c:f>
              <c:strCache>
                <c:ptCount val="3"/>
                <c:pt idx="0">
                  <c:v>Mary Johnson</c:v>
                </c:pt>
                <c:pt idx="1">
                  <c:v>Jane Doe</c:v>
                </c:pt>
                <c:pt idx="2">
                  <c:v>Anne Marie</c:v>
                </c:pt>
              </c:strCache>
            </c:strRef>
          </c:cat>
          <c:val>
            <c:numRef>
              <c:f>SalesPivotTable!$G$51:$G$54</c:f>
              <c:numCache>
                <c:formatCode>[$$-409]#,##0.00</c:formatCode>
                <c:ptCount val="3"/>
                <c:pt idx="0">
                  <c:v>936</c:v>
                </c:pt>
                <c:pt idx="1">
                  <c:v>402.5</c:v>
                </c:pt>
                <c:pt idx="2">
                  <c:v>25</c:v>
                </c:pt>
              </c:numCache>
            </c:numRef>
          </c:val>
          <c:extLst>
            <c:ext xmlns:c16="http://schemas.microsoft.com/office/drawing/2014/chart" uri="{C3380CC4-5D6E-409C-BE32-E72D297353CC}">
              <c16:uniqueId val="{00000000-F18C-41EB-8661-34657B9033E8}"/>
            </c:ext>
          </c:extLst>
        </c:ser>
        <c:ser>
          <c:idx val="1"/>
          <c:order val="1"/>
          <c:tx>
            <c:strRef>
              <c:f>SalesPivotTable!$H$50</c:f>
              <c:strCache>
                <c:ptCount val="1"/>
                <c:pt idx="0">
                  <c:v>Count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41-4DC6-B46A-1B7774E7C39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AE87-47C2-8073-8E14B6CD3A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1-AE87-47C2-8073-8E14B6CD3AA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E87-47C2-8073-8E14B6CD3AA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E87-47C2-8073-8E14B6CD3AA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E87-47C2-8073-8E14B6CD3AA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E87-47C2-8073-8E14B6CD3AA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E87-47C2-8073-8E14B6CD3AA0}"/>
              </c:ext>
            </c:extLst>
          </c:dPt>
          <c:cat>
            <c:strRef>
              <c:f>SalesPivotTable!$F$51:$F$54</c:f>
              <c:strCache>
                <c:ptCount val="3"/>
                <c:pt idx="0">
                  <c:v>Mary Johnson</c:v>
                </c:pt>
                <c:pt idx="1">
                  <c:v>Jane Doe</c:v>
                </c:pt>
                <c:pt idx="2">
                  <c:v>Anne Marie</c:v>
                </c:pt>
              </c:strCache>
            </c:strRef>
          </c:cat>
          <c:val>
            <c:numRef>
              <c:f>SalesPivotTable!$H$51:$H$54</c:f>
              <c:numCache>
                <c:formatCode>General</c:formatCode>
                <c:ptCount val="3"/>
                <c:pt idx="0">
                  <c:v>6</c:v>
                </c:pt>
                <c:pt idx="1">
                  <c:v>6</c:v>
                </c:pt>
                <c:pt idx="2">
                  <c:v>1</c:v>
                </c:pt>
              </c:numCache>
            </c:numRef>
          </c:val>
          <c:extLst>
            <c:ext xmlns:c16="http://schemas.microsoft.com/office/drawing/2014/chart" uri="{C3380CC4-5D6E-409C-BE32-E72D297353CC}">
              <c16:uniqueId val="{00000001-F18C-41EB-8661-34657B9033E8}"/>
            </c:ext>
          </c:extLst>
        </c:ser>
        <c:ser>
          <c:idx val="2"/>
          <c:order val="2"/>
          <c:tx>
            <c:strRef>
              <c:f>SalesPivotTable!$I$50</c:f>
              <c:strCache>
                <c:ptCount val="1"/>
                <c:pt idx="0">
                  <c:v>Percentage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41-4DC6-B46A-1B7774E7C39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5-AE87-47C2-8073-8E14B6CD3A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7-AE87-47C2-8073-8E14B6CD3AA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AE87-47C2-8073-8E14B6CD3AA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AE87-47C2-8073-8E14B6CD3AA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AE87-47C2-8073-8E14B6CD3AA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AE87-47C2-8073-8E14B6CD3AA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AE87-47C2-8073-8E14B6CD3AA0}"/>
              </c:ext>
            </c:extLst>
          </c:dPt>
          <c:cat>
            <c:strRef>
              <c:f>SalesPivotTable!$F$51:$F$54</c:f>
              <c:strCache>
                <c:ptCount val="3"/>
                <c:pt idx="0">
                  <c:v>Mary Johnson</c:v>
                </c:pt>
                <c:pt idx="1">
                  <c:v>Jane Doe</c:v>
                </c:pt>
                <c:pt idx="2">
                  <c:v>Anne Marie</c:v>
                </c:pt>
              </c:strCache>
            </c:strRef>
          </c:cat>
          <c:val>
            <c:numRef>
              <c:f>SalesPivotTable!$I$51:$I$54</c:f>
              <c:numCache>
                <c:formatCode>0.00%</c:formatCode>
                <c:ptCount val="3"/>
                <c:pt idx="0">
                  <c:v>0.68646864686468645</c:v>
                </c:pt>
                <c:pt idx="1">
                  <c:v>0.2951961862852952</c:v>
                </c:pt>
                <c:pt idx="2">
                  <c:v>1.8335166850018333E-2</c:v>
                </c:pt>
              </c:numCache>
            </c:numRef>
          </c:val>
          <c:extLst>
            <c:ext xmlns:c16="http://schemas.microsoft.com/office/drawing/2014/chart" uri="{C3380CC4-5D6E-409C-BE32-E72D297353CC}">
              <c16:uniqueId val="{00000002-F18C-41EB-8661-34657B903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SalesPivotTable!$B$45:$B$75</c:f>
              <c:multiLvlStrCache>
                <c:ptCount val="13"/>
                <c:lvl>
                  <c:pt idx="0">
                    <c:v>3-Feb-2025</c:v>
                  </c:pt>
                  <c:pt idx="1">
                    <c:v>1-Mar-2025</c:v>
                  </c:pt>
                  <c:pt idx="2">
                    <c:v>7-Mar-2025</c:v>
                  </c:pt>
                  <c:pt idx="3">
                    <c:v>9-Mar-2025</c:v>
                  </c:pt>
                  <c:pt idx="4">
                    <c:v>13-Mar-2025</c:v>
                  </c:pt>
                  <c:pt idx="5">
                    <c:v>14-Mar-2025</c:v>
                  </c:pt>
                  <c:pt idx="6">
                    <c:v>17-Mar-2025</c:v>
                  </c:pt>
                  <c:pt idx="7">
                    <c:v>19-Mar-2025</c:v>
                  </c:pt>
                  <c:pt idx="8">
                    <c:v>20-Mar-2025</c:v>
                  </c:pt>
                  <c:pt idx="9">
                    <c:v>23-Mar-2025</c:v>
                  </c:pt>
                  <c:pt idx="10">
                    <c:v>24-Mar-2025</c:v>
                  </c:pt>
                  <c:pt idx="11">
                    <c:v>3-Apr-2025</c:v>
                  </c:pt>
                  <c:pt idx="12">
                    <c:v>3-Nov-2025</c:v>
                  </c:pt>
                </c:lvl>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SalesPivotTable!$C$45:$C$75</c:f>
              <c:numCache>
                <c:formatCode>[$$-409]#,##0.00</c:formatCode>
                <c:ptCount val="13"/>
                <c:pt idx="0">
                  <c:v>125</c:v>
                </c:pt>
                <c:pt idx="1">
                  <c:v>50</c:v>
                </c:pt>
                <c:pt idx="2">
                  <c:v>120</c:v>
                </c:pt>
                <c:pt idx="3">
                  <c:v>25</c:v>
                </c:pt>
                <c:pt idx="4">
                  <c:v>91</c:v>
                </c:pt>
                <c:pt idx="5">
                  <c:v>25</c:v>
                </c:pt>
                <c:pt idx="6">
                  <c:v>120</c:v>
                </c:pt>
                <c:pt idx="7">
                  <c:v>45.5</c:v>
                </c:pt>
                <c:pt idx="8">
                  <c:v>300</c:v>
                </c:pt>
                <c:pt idx="9">
                  <c:v>91</c:v>
                </c:pt>
                <c:pt idx="10">
                  <c:v>180</c:v>
                </c:pt>
                <c:pt idx="11">
                  <c:v>91</c:v>
                </c:pt>
                <c:pt idx="12">
                  <c:v>100</c:v>
                </c:pt>
              </c:numCache>
            </c:numRef>
          </c:val>
          <c:smooth val="0"/>
          <c:extLst>
            <c:ext xmlns:c16="http://schemas.microsoft.com/office/drawing/2014/chart" uri="{C3380CC4-5D6E-409C-BE32-E72D297353CC}">
              <c16:uniqueId val="{00000000-951C-42C4-A1FD-DFA3D6FAC9E9}"/>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SalesPivotTable!$B$45:$B$75</c:f>
              <c:multiLvlStrCache>
                <c:ptCount val="13"/>
                <c:lvl>
                  <c:pt idx="0">
                    <c:v>3-Feb-2025</c:v>
                  </c:pt>
                  <c:pt idx="1">
                    <c:v>1-Mar-2025</c:v>
                  </c:pt>
                  <c:pt idx="2">
                    <c:v>7-Mar-2025</c:v>
                  </c:pt>
                  <c:pt idx="3">
                    <c:v>9-Mar-2025</c:v>
                  </c:pt>
                  <c:pt idx="4">
                    <c:v>13-Mar-2025</c:v>
                  </c:pt>
                  <c:pt idx="5">
                    <c:v>14-Mar-2025</c:v>
                  </c:pt>
                  <c:pt idx="6">
                    <c:v>17-Mar-2025</c:v>
                  </c:pt>
                  <c:pt idx="7">
                    <c:v>19-Mar-2025</c:v>
                  </c:pt>
                  <c:pt idx="8">
                    <c:v>20-Mar-2025</c:v>
                  </c:pt>
                  <c:pt idx="9">
                    <c:v>23-Mar-2025</c:v>
                  </c:pt>
                  <c:pt idx="10">
                    <c:v>24-Mar-2025</c:v>
                  </c:pt>
                  <c:pt idx="11">
                    <c:v>3-Apr-2025</c:v>
                  </c:pt>
                  <c:pt idx="12">
                    <c:v>3-Nov-2025</c:v>
                  </c:pt>
                </c:lvl>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SalesPivotTable!$D$45:$D$75</c:f>
              <c:numCache>
                <c:formatCode>0.00%</c:formatCode>
                <c:ptCount val="13"/>
                <c:pt idx="0">
                  <c:v>9.1675834250091681E-2</c:v>
                </c:pt>
                <c:pt idx="1">
                  <c:v>3.6670333700036667E-2</c:v>
                </c:pt>
                <c:pt idx="2">
                  <c:v>8.8008800880088014E-2</c:v>
                </c:pt>
                <c:pt idx="3">
                  <c:v>1.8335166850018333E-2</c:v>
                </c:pt>
                <c:pt idx="4">
                  <c:v>6.6740007334066737E-2</c:v>
                </c:pt>
                <c:pt idx="5">
                  <c:v>1.8335166850018333E-2</c:v>
                </c:pt>
                <c:pt idx="6">
                  <c:v>8.8008800880088014E-2</c:v>
                </c:pt>
                <c:pt idx="7">
                  <c:v>3.3370003667033368E-2</c:v>
                </c:pt>
                <c:pt idx="8">
                  <c:v>0.22002200220022003</c:v>
                </c:pt>
                <c:pt idx="9">
                  <c:v>6.6740007334066737E-2</c:v>
                </c:pt>
                <c:pt idx="10">
                  <c:v>0.132013201320132</c:v>
                </c:pt>
                <c:pt idx="11">
                  <c:v>6.6740007334066737E-2</c:v>
                </c:pt>
                <c:pt idx="12">
                  <c:v>7.3340667400073334E-2</c:v>
                </c:pt>
              </c:numCache>
            </c:numRef>
          </c:val>
          <c:smooth val="0"/>
          <c:extLst>
            <c:ext xmlns:c16="http://schemas.microsoft.com/office/drawing/2014/chart" uri="{C3380CC4-5D6E-409C-BE32-E72D297353CC}">
              <c16:uniqueId val="{00000001-951C-42C4-A1FD-DFA3D6FAC9E9}"/>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SalesRep</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SalesPivotTable!$AD$37</c:f>
              <c:strCache>
                <c:ptCount val="1"/>
                <c:pt idx="0">
                  <c:v>Sum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AF-43FF-9E3C-2DDB2175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4-4C26-9D1B-CCE314BF58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24-4C26-9D1B-CCE314BF58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24-4C26-9D1B-CCE314BF58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24-4C26-9D1B-CCE314BF58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24-4C26-9D1B-CCE314BF588A}"/>
              </c:ext>
            </c:extLst>
          </c:dPt>
          <c:cat>
            <c:strRef>
              <c:f>SalesPivotTable!$AC$38:$AC$39</c:f>
              <c:strCache>
                <c:ptCount val="1"/>
                <c:pt idx="0">
                  <c:v>A. Smith</c:v>
                </c:pt>
              </c:strCache>
            </c:strRef>
          </c:cat>
          <c:val>
            <c:numRef>
              <c:f>SalesPivotTable!$AD$38:$AD$39</c:f>
              <c:numCache>
                <c:formatCode>[$$-409]#,##0.00</c:formatCode>
                <c:ptCount val="1"/>
                <c:pt idx="0">
                  <c:v>1363.5</c:v>
                </c:pt>
              </c:numCache>
            </c:numRef>
          </c:val>
          <c:extLst>
            <c:ext xmlns:c16="http://schemas.microsoft.com/office/drawing/2014/chart" uri="{C3380CC4-5D6E-409C-BE32-E72D297353CC}">
              <c16:uniqueId val="{00000000-9DF6-46C8-ABD0-FB8082DDF8B8}"/>
            </c:ext>
          </c:extLst>
        </c:ser>
        <c:ser>
          <c:idx val="1"/>
          <c:order val="1"/>
          <c:tx>
            <c:strRef>
              <c:f>SalesPivotTable!$AE$37</c:f>
              <c:strCache>
                <c:ptCount val="1"/>
                <c:pt idx="0">
                  <c:v>Count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8AF-43FF-9E3C-2DDB2175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D24-4C26-9D1B-CCE314BF58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0D24-4C26-9D1B-CCE314BF58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0D24-4C26-9D1B-CCE314BF58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0D24-4C26-9D1B-CCE314BF58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0D24-4C26-9D1B-CCE314BF588A}"/>
              </c:ext>
            </c:extLst>
          </c:dPt>
          <c:cat>
            <c:strRef>
              <c:f>SalesPivotTable!$AC$38:$AC$39</c:f>
              <c:strCache>
                <c:ptCount val="1"/>
                <c:pt idx="0">
                  <c:v>A. Smith</c:v>
                </c:pt>
              </c:strCache>
            </c:strRef>
          </c:cat>
          <c:val>
            <c:numRef>
              <c:f>SalesPivotTable!$AE$38:$AE$39</c:f>
              <c:numCache>
                <c:formatCode>General</c:formatCode>
                <c:ptCount val="1"/>
                <c:pt idx="0">
                  <c:v>13</c:v>
                </c:pt>
              </c:numCache>
            </c:numRef>
          </c:val>
          <c:extLst>
            <c:ext xmlns:c16="http://schemas.microsoft.com/office/drawing/2014/chart" uri="{C3380CC4-5D6E-409C-BE32-E72D297353CC}">
              <c16:uniqueId val="{00000001-9DF6-46C8-ABD0-FB8082DDF8B8}"/>
            </c:ext>
          </c:extLst>
        </c:ser>
        <c:ser>
          <c:idx val="2"/>
          <c:order val="2"/>
          <c:tx>
            <c:strRef>
              <c:f>SalesPivotTable!$AF$37</c:f>
              <c:strCache>
                <c:ptCount val="1"/>
                <c:pt idx="0">
                  <c:v>Percentage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8AF-43FF-9E3C-2DDB2175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0D24-4C26-9D1B-CCE314BF58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0D24-4C26-9D1B-CCE314BF58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0D24-4C26-9D1B-CCE314BF58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0D24-4C26-9D1B-CCE314BF58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0D24-4C26-9D1B-CCE314BF588A}"/>
              </c:ext>
            </c:extLst>
          </c:dPt>
          <c:cat>
            <c:strRef>
              <c:f>SalesPivotTable!$AC$38:$AC$39</c:f>
              <c:strCache>
                <c:ptCount val="1"/>
                <c:pt idx="0">
                  <c:v>A. Smith</c:v>
                </c:pt>
              </c:strCache>
            </c:strRef>
          </c:cat>
          <c:val>
            <c:numRef>
              <c:f>SalesPivotTable!$AF$38:$AF$39</c:f>
              <c:numCache>
                <c:formatCode>0.00%</c:formatCode>
                <c:ptCount val="1"/>
                <c:pt idx="0">
                  <c:v>1</c:v>
                </c:pt>
              </c:numCache>
            </c:numRef>
          </c:val>
          <c:extLst>
            <c:ext xmlns:c16="http://schemas.microsoft.com/office/drawing/2014/chart" uri="{C3380CC4-5D6E-409C-BE32-E72D297353CC}">
              <c16:uniqueId val="{00000002-9DF6-46C8-ABD0-FB8082DDF8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SalesPivotTable!$N$2</c:f>
              <c:strCache>
                <c:ptCount val="1"/>
                <c:pt idx="0">
                  <c:v>Sum of TotalSales</c:v>
                </c:pt>
              </c:strCache>
            </c:strRef>
          </c:tx>
          <c:spPr>
            <a:solidFill>
              <a:schemeClr val="accent1"/>
            </a:solidFill>
            <a:ln>
              <a:noFill/>
            </a:ln>
            <a:effectLst/>
          </c:spPr>
          <c:invertIfNegative val="0"/>
          <c:cat>
            <c:strRef>
              <c:f>SalesPivotTable!$M$3:$M$6</c:f>
              <c:strCache>
                <c:ptCount val="3"/>
                <c:pt idx="0">
                  <c:v>Widget C</c:v>
                </c:pt>
                <c:pt idx="1">
                  <c:v>Widget A</c:v>
                </c:pt>
                <c:pt idx="2">
                  <c:v>Widget B</c:v>
                </c:pt>
              </c:strCache>
            </c:strRef>
          </c:cat>
          <c:val>
            <c:numRef>
              <c:f>SalesPivotTable!$N$3:$N$6</c:f>
              <c:numCache>
                <c:formatCode>[$$-409]#,##0.00</c:formatCode>
                <c:ptCount val="3"/>
                <c:pt idx="0">
                  <c:v>720</c:v>
                </c:pt>
                <c:pt idx="1">
                  <c:v>325</c:v>
                </c:pt>
                <c:pt idx="2">
                  <c:v>318.5</c:v>
                </c:pt>
              </c:numCache>
            </c:numRef>
          </c:val>
          <c:extLst>
            <c:ext xmlns:c16="http://schemas.microsoft.com/office/drawing/2014/chart" uri="{C3380CC4-5D6E-409C-BE32-E72D297353CC}">
              <c16:uniqueId val="{00000000-42C5-4EF2-8D35-28D1F9A879FE}"/>
            </c:ext>
          </c:extLst>
        </c:ser>
        <c:ser>
          <c:idx val="1"/>
          <c:order val="1"/>
          <c:tx>
            <c:strRef>
              <c:f>SalesPivotTable!$O$2</c:f>
              <c:strCache>
                <c:ptCount val="1"/>
                <c:pt idx="0">
                  <c:v>Count of TotalSales</c:v>
                </c:pt>
              </c:strCache>
            </c:strRef>
          </c:tx>
          <c:spPr>
            <a:solidFill>
              <a:schemeClr val="accent2"/>
            </a:solidFill>
            <a:ln>
              <a:noFill/>
            </a:ln>
            <a:effectLst/>
          </c:spPr>
          <c:invertIfNegative val="0"/>
          <c:cat>
            <c:strRef>
              <c:f>SalesPivotTable!$M$3:$M$6</c:f>
              <c:strCache>
                <c:ptCount val="3"/>
                <c:pt idx="0">
                  <c:v>Widget C</c:v>
                </c:pt>
                <c:pt idx="1">
                  <c:v>Widget A</c:v>
                </c:pt>
                <c:pt idx="2">
                  <c:v>Widget B</c:v>
                </c:pt>
              </c:strCache>
            </c:strRef>
          </c:cat>
          <c:val>
            <c:numRef>
              <c:f>SalesPivotTable!$O$3:$O$6</c:f>
              <c:numCache>
                <c:formatCode>General</c:formatCode>
                <c:ptCount val="3"/>
                <c:pt idx="0">
                  <c:v>4</c:v>
                </c:pt>
                <c:pt idx="1">
                  <c:v>5</c:v>
                </c:pt>
                <c:pt idx="2">
                  <c:v>4</c:v>
                </c:pt>
              </c:numCache>
            </c:numRef>
          </c:val>
          <c:extLst>
            <c:ext xmlns:c16="http://schemas.microsoft.com/office/drawing/2014/chart" uri="{C3380CC4-5D6E-409C-BE32-E72D297353CC}">
              <c16:uniqueId val="{00000001-42C5-4EF2-8D35-28D1F9A879FE}"/>
            </c:ext>
          </c:extLst>
        </c:ser>
        <c:dLbls>
          <c:showLegendKey val="0"/>
          <c:showVal val="0"/>
          <c:showCatName val="0"/>
          <c:showSerName val="0"/>
          <c:showPercent val="0"/>
          <c:showBubbleSize val="0"/>
        </c:dLbls>
        <c:gapWidth val="219"/>
        <c:overlap val="-27"/>
        <c:axId val="1686445328"/>
        <c:axId val="1686445808"/>
      </c:barChart>
      <c:lineChart>
        <c:grouping val="standard"/>
        <c:varyColors val="0"/>
        <c:ser>
          <c:idx val="2"/>
          <c:order val="2"/>
          <c:tx>
            <c:strRef>
              <c:f>SalesPivotTable!$P$2</c:f>
              <c:strCache>
                <c:ptCount val="1"/>
                <c:pt idx="0">
                  <c:v>Percentage of TotalSales</c:v>
                </c:pt>
              </c:strCache>
            </c:strRef>
          </c:tx>
          <c:spPr>
            <a:ln w="28575" cap="rnd">
              <a:solidFill>
                <a:schemeClr val="accent3"/>
              </a:solidFill>
              <a:round/>
            </a:ln>
            <a:effectLst/>
          </c:spPr>
          <c:marker>
            <c:symbol val="none"/>
          </c:marker>
          <c:cat>
            <c:strRef>
              <c:f>SalesPivotTable!$M$3:$M$6</c:f>
              <c:strCache>
                <c:ptCount val="3"/>
                <c:pt idx="0">
                  <c:v>Widget C</c:v>
                </c:pt>
                <c:pt idx="1">
                  <c:v>Widget A</c:v>
                </c:pt>
                <c:pt idx="2">
                  <c:v>Widget B</c:v>
                </c:pt>
              </c:strCache>
            </c:strRef>
          </c:cat>
          <c:val>
            <c:numRef>
              <c:f>SalesPivotTable!$P$3:$P$6</c:f>
              <c:numCache>
                <c:formatCode>0.00%</c:formatCode>
                <c:ptCount val="3"/>
                <c:pt idx="0">
                  <c:v>0.528052805280528</c:v>
                </c:pt>
                <c:pt idx="1">
                  <c:v>0.23835716905023835</c:v>
                </c:pt>
                <c:pt idx="2">
                  <c:v>0.23359002566923359</c:v>
                </c:pt>
              </c:numCache>
            </c:numRef>
          </c:val>
          <c:smooth val="0"/>
          <c:extLst>
            <c:ext xmlns:c16="http://schemas.microsoft.com/office/drawing/2014/chart" uri="{C3380CC4-5D6E-409C-BE32-E72D297353CC}">
              <c16:uniqueId val="{00000002-42C5-4EF2-8D35-28D1F9A879FE}"/>
            </c:ext>
          </c:extLst>
        </c:ser>
        <c:dLbls>
          <c:showLegendKey val="0"/>
          <c:showVal val="0"/>
          <c:showCatName val="0"/>
          <c:showSerName val="0"/>
          <c:showPercent val="0"/>
          <c:showBubbleSize val="0"/>
        </c:dLbls>
        <c:marker val="1"/>
        <c:smooth val="0"/>
        <c:axId val="1836807216"/>
        <c:axId val="1836806736"/>
      </c:lineChart>
      <c:catAx>
        <c:axId val="16864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808"/>
        <c:crosses val="autoZero"/>
        <c:auto val="1"/>
        <c:lblAlgn val="ctr"/>
        <c:lblOffset val="100"/>
        <c:noMultiLvlLbl val="0"/>
      </c:catAx>
      <c:valAx>
        <c:axId val="168644580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328"/>
        <c:crosses val="autoZero"/>
        <c:crossBetween val="between"/>
      </c:valAx>
      <c:valAx>
        <c:axId val="1836806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07216"/>
        <c:crosses val="max"/>
        <c:crossBetween val="between"/>
      </c:valAx>
      <c:catAx>
        <c:axId val="1836807216"/>
        <c:scaling>
          <c:orientation val="minMax"/>
        </c:scaling>
        <c:delete val="1"/>
        <c:axPos val="b"/>
        <c:numFmt formatCode="General" sourceLinked="1"/>
        <c:majorTickMark val="out"/>
        <c:minorTickMark val="none"/>
        <c:tickLblPos val="nextTo"/>
        <c:crossAx val="1836806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London</c:v>
                </c:pt>
              </c:strCache>
            </c:strRef>
          </c:cat>
          <c:val>
            <c:numRef>
              <c:f>SalesPivotTable!$B$4:$B$5</c:f>
              <c:numCache>
                <c:formatCode>[$$-409]#,##0.00</c:formatCode>
                <c:ptCount val="1"/>
                <c:pt idx="0">
                  <c:v>1363.5</c:v>
                </c:pt>
              </c:numCache>
            </c:numRef>
          </c:val>
          <c:extLst>
            <c:ext xmlns:c16="http://schemas.microsoft.com/office/drawing/2014/chart" uri="{C3380CC4-5D6E-409C-BE32-E72D297353CC}">
              <c16:uniqueId val="{00000000-9E13-4AD5-933D-E50C5B82B36D}"/>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London</c:v>
                </c:pt>
              </c:strCache>
            </c:strRef>
          </c:cat>
          <c:val>
            <c:numRef>
              <c:f>SalesPivotTable!$C$4:$C$5</c:f>
              <c:numCache>
                <c:formatCode>General</c:formatCode>
                <c:ptCount val="1"/>
                <c:pt idx="0">
                  <c:v>13</c:v>
                </c:pt>
              </c:numCache>
            </c:numRef>
          </c:val>
          <c:extLst>
            <c:ext xmlns:c16="http://schemas.microsoft.com/office/drawing/2014/chart" uri="{C3380CC4-5D6E-409C-BE32-E72D297353CC}">
              <c16:uniqueId val="{00000001-9E13-4AD5-933D-E50C5B82B36D}"/>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London</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9E13-4AD5-933D-E50C5B82B36D}"/>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LeadSource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SalesPivotTable!$B$25</c:f>
              <c:strCache>
                <c:ptCount val="1"/>
                <c:pt idx="0">
                  <c:v>Sum of TotalSales</c:v>
                </c:pt>
              </c:strCache>
            </c:strRef>
          </c:tx>
          <c:spPr>
            <a:solidFill>
              <a:schemeClr val="accent1"/>
            </a:solidFill>
            <a:ln>
              <a:noFill/>
            </a:ln>
            <a:effectLst/>
          </c:spPr>
          <c:invertIfNegative val="0"/>
          <c:cat>
            <c:strRef>
              <c:f>SalesPivotTable!$A$26:$A$30</c:f>
              <c:strCache>
                <c:ptCount val="4"/>
                <c:pt idx="0">
                  <c:v>Web</c:v>
                </c:pt>
                <c:pt idx="1">
                  <c:v>Email</c:v>
                </c:pt>
                <c:pt idx="2">
                  <c:v>Referral</c:v>
                </c:pt>
                <c:pt idx="3">
                  <c:v>Phone</c:v>
                </c:pt>
              </c:strCache>
            </c:strRef>
          </c:cat>
          <c:val>
            <c:numRef>
              <c:f>SalesPivotTable!$B$26:$B$30</c:f>
              <c:numCache>
                <c:formatCode>[$$-409]#,##0.00</c:formatCode>
                <c:ptCount val="4"/>
                <c:pt idx="0">
                  <c:v>816</c:v>
                </c:pt>
                <c:pt idx="1">
                  <c:v>227.5</c:v>
                </c:pt>
                <c:pt idx="2">
                  <c:v>200</c:v>
                </c:pt>
                <c:pt idx="3">
                  <c:v>120</c:v>
                </c:pt>
              </c:numCache>
            </c:numRef>
          </c:val>
          <c:extLst>
            <c:ext xmlns:c16="http://schemas.microsoft.com/office/drawing/2014/chart" uri="{C3380CC4-5D6E-409C-BE32-E72D297353CC}">
              <c16:uniqueId val="{00000000-043A-453D-BA43-4FD62D44F3DE}"/>
            </c:ext>
          </c:extLst>
        </c:ser>
        <c:dLbls>
          <c:showLegendKey val="0"/>
          <c:showVal val="0"/>
          <c:showCatName val="0"/>
          <c:showSerName val="0"/>
          <c:showPercent val="0"/>
          <c:showBubbleSize val="0"/>
        </c:dLbls>
        <c:gapWidth val="219"/>
        <c:overlap val="-27"/>
        <c:axId val="1945569408"/>
        <c:axId val="1945569888"/>
      </c:barChart>
      <c:lineChart>
        <c:grouping val="standard"/>
        <c:varyColors val="0"/>
        <c:ser>
          <c:idx val="1"/>
          <c:order val="1"/>
          <c:tx>
            <c:strRef>
              <c:f>SalesPivotTable!$C$25</c:f>
              <c:strCache>
                <c:ptCount val="1"/>
                <c:pt idx="0">
                  <c:v>Percentage of TotalSales</c:v>
                </c:pt>
              </c:strCache>
            </c:strRef>
          </c:tx>
          <c:spPr>
            <a:ln w="28575" cap="rnd">
              <a:solidFill>
                <a:schemeClr val="accent2"/>
              </a:solidFill>
              <a:round/>
            </a:ln>
            <a:effectLst/>
          </c:spPr>
          <c:marker>
            <c:symbol val="none"/>
          </c:marker>
          <c:cat>
            <c:strRef>
              <c:f>SalesPivotTable!$A$26:$A$30</c:f>
              <c:strCache>
                <c:ptCount val="4"/>
                <c:pt idx="0">
                  <c:v>Web</c:v>
                </c:pt>
                <c:pt idx="1">
                  <c:v>Email</c:v>
                </c:pt>
                <c:pt idx="2">
                  <c:v>Referral</c:v>
                </c:pt>
                <c:pt idx="3">
                  <c:v>Phone</c:v>
                </c:pt>
              </c:strCache>
            </c:strRef>
          </c:cat>
          <c:val>
            <c:numRef>
              <c:f>SalesPivotTable!$C$26:$C$30</c:f>
              <c:numCache>
                <c:formatCode>0.00%</c:formatCode>
                <c:ptCount val="4"/>
                <c:pt idx="0">
                  <c:v>0.59845984598459845</c:v>
                </c:pt>
                <c:pt idx="1">
                  <c:v>0.16685001833516686</c:v>
                </c:pt>
                <c:pt idx="2">
                  <c:v>0.14668133480014667</c:v>
                </c:pt>
                <c:pt idx="3">
                  <c:v>8.8008800880088014E-2</c:v>
                </c:pt>
              </c:numCache>
            </c:numRef>
          </c:val>
          <c:smooth val="0"/>
          <c:extLst>
            <c:ext xmlns:c16="http://schemas.microsoft.com/office/drawing/2014/chart" uri="{C3380CC4-5D6E-409C-BE32-E72D297353CC}">
              <c16:uniqueId val="{00000001-043A-453D-BA43-4FD62D44F3DE}"/>
            </c:ext>
          </c:extLst>
        </c:ser>
        <c:dLbls>
          <c:showLegendKey val="0"/>
          <c:showVal val="0"/>
          <c:showCatName val="0"/>
          <c:showSerName val="0"/>
          <c:showPercent val="0"/>
          <c:showBubbleSize val="0"/>
        </c:dLbls>
        <c:marker val="1"/>
        <c:smooth val="0"/>
        <c:axId val="1807291376"/>
        <c:axId val="1807294256"/>
      </c:lineChart>
      <c:catAx>
        <c:axId val="19455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888"/>
        <c:crosses val="autoZero"/>
        <c:auto val="1"/>
        <c:lblAlgn val="ctr"/>
        <c:lblOffset val="100"/>
        <c:noMultiLvlLbl val="0"/>
      </c:catAx>
      <c:valAx>
        <c:axId val="194556988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408"/>
        <c:crosses val="autoZero"/>
        <c:crossBetween val="between"/>
      </c:valAx>
      <c:valAx>
        <c:axId val="18072942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91376"/>
        <c:crosses val="max"/>
        <c:crossBetween val="between"/>
      </c:valAx>
      <c:catAx>
        <c:axId val="1807291376"/>
        <c:scaling>
          <c:orientation val="minMax"/>
        </c:scaling>
        <c:delete val="1"/>
        <c:axPos val="b"/>
        <c:numFmt formatCode="General" sourceLinked="1"/>
        <c:majorTickMark val="out"/>
        <c:minorTickMark val="none"/>
        <c:tickLblPos val="nextTo"/>
        <c:crossAx val="1807294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UnitPrice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SalesPivotTable!$J$113</c:f>
              <c:strCache>
                <c:ptCount val="1"/>
                <c:pt idx="0">
                  <c:v>Sum of UnitPrice</c:v>
                </c:pt>
              </c:strCache>
            </c:strRef>
          </c:tx>
          <c:spPr>
            <a:solidFill>
              <a:schemeClr val="accent1"/>
            </a:solidFill>
            <a:ln>
              <a:noFill/>
            </a:ln>
            <a:effectLst/>
          </c:spPr>
          <c:invertIfNegative val="0"/>
          <c:cat>
            <c:strRef>
              <c:f>SalesPivotTable!$I$114:$I$117</c:f>
              <c:strCache>
                <c:ptCount val="3"/>
                <c:pt idx="0">
                  <c:v>Anne Marie</c:v>
                </c:pt>
                <c:pt idx="1">
                  <c:v>Jane Doe</c:v>
                </c:pt>
                <c:pt idx="2">
                  <c:v>Mary Johnson</c:v>
                </c:pt>
              </c:strCache>
            </c:strRef>
          </c:cat>
          <c:val>
            <c:numRef>
              <c:f>SalesPivotTable!$J$114:$J$117</c:f>
              <c:numCache>
                <c:formatCode>[$$-409]#,##0.00</c:formatCode>
                <c:ptCount val="3"/>
                <c:pt idx="0">
                  <c:v>25</c:v>
                </c:pt>
                <c:pt idx="1">
                  <c:v>211.5</c:v>
                </c:pt>
                <c:pt idx="2">
                  <c:v>310.5</c:v>
                </c:pt>
              </c:numCache>
            </c:numRef>
          </c:val>
          <c:extLst>
            <c:ext xmlns:c16="http://schemas.microsoft.com/office/drawing/2014/chart" uri="{C3380CC4-5D6E-409C-BE32-E72D297353CC}">
              <c16:uniqueId val="{00000000-E24B-4224-9F8E-F08AE76073F5}"/>
            </c:ext>
          </c:extLst>
        </c:ser>
        <c:ser>
          <c:idx val="1"/>
          <c:order val="1"/>
          <c:tx>
            <c:strRef>
              <c:f>SalesPivotTable!$K$113</c:f>
              <c:strCache>
                <c:ptCount val="1"/>
                <c:pt idx="0">
                  <c:v>Percentage of UnitPrice</c:v>
                </c:pt>
              </c:strCache>
            </c:strRef>
          </c:tx>
          <c:spPr>
            <a:solidFill>
              <a:schemeClr val="accent2"/>
            </a:solidFill>
            <a:ln>
              <a:noFill/>
            </a:ln>
            <a:effectLst/>
          </c:spPr>
          <c:invertIfNegative val="0"/>
          <c:cat>
            <c:strRef>
              <c:f>SalesPivotTable!$I$114:$I$117</c:f>
              <c:strCache>
                <c:ptCount val="3"/>
                <c:pt idx="0">
                  <c:v>Anne Marie</c:v>
                </c:pt>
                <c:pt idx="1">
                  <c:v>Jane Doe</c:v>
                </c:pt>
                <c:pt idx="2">
                  <c:v>Mary Johnson</c:v>
                </c:pt>
              </c:strCache>
            </c:strRef>
          </c:cat>
          <c:val>
            <c:numRef>
              <c:f>SalesPivotTable!$K$114:$K$117</c:f>
              <c:numCache>
                <c:formatCode>0.00%</c:formatCode>
                <c:ptCount val="3"/>
                <c:pt idx="0">
                  <c:v>4.5703839122486288E-2</c:v>
                </c:pt>
                <c:pt idx="1">
                  <c:v>0.38665447897623401</c:v>
                </c:pt>
                <c:pt idx="2">
                  <c:v>0.56764168190127973</c:v>
                </c:pt>
              </c:numCache>
            </c:numRef>
          </c:val>
          <c:extLst>
            <c:ext xmlns:c16="http://schemas.microsoft.com/office/drawing/2014/chart" uri="{C3380CC4-5D6E-409C-BE32-E72D297353CC}">
              <c16:uniqueId val="{00000001-E24B-4224-9F8E-F08AE76073F5}"/>
            </c:ext>
          </c:extLst>
        </c:ser>
        <c:dLbls>
          <c:showLegendKey val="0"/>
          <c:showVal val="0"/>
          <c:showCatName val="0"/>
          <c:showSerName val="0"/>
          <c:showPercent val="0"/>
          <c:showBubbleSize val="0"/>
        </c:dLbls>
        <c:gapWidth val="219"/>
        <c:overlap val="-27"/>
        <c:axId val="1833782992"/>
        <c:axId val="1833788752"/>
      </c:barChart>
      <c:lineChart>
        <c:grouping val="standard"/>
        <c:varyColors val="0"/>
        <c:ser>
          <c:idx val="2"/>
          <c:order val="2"/>
          <c:tx>
            <c:strRef>
              <c:f>SalesPivotTable!$L$113</c:f>
              <c:strCache>
                <c:ptCount val="1"/>
                <c:pt idx="0">
                  <c:v>Count of UnitPrice</c:v>
                </c:pt>
              </c:strCache>
            </c:strRef>
          </c:tx>
          <c:spPr>
            <a:ln w="28575" cap="rnd">
              <a:solidFill>
                <a:schemeClr val="accent3"/>
              </a:solidFill>
              <a:round/>
            </a:ln>
            <a:effectLst/>
          </c:spPr>
          <c:marker>
            <c:symbol val="none"/>
          </c:marker>
          <c:cat>
            <c:strRef>
              <c:f>SalesPivotTable!$I$114:$I$117</c:f>
              <c:strCache>
                <c:ptCount val="3"/>
                <c:pt idx="0">
                  <c:v>Anne Marie</c:v>
                </c:pt>
                <c:pt idx="1">
                  <c:v>Jane Doe</c:v>
                </c:pt>
                <c:pt idx="2">
                  <c:v>Mary Johnson</c:v>
                </c:pt>
              </c:strCache>
            </c:strRef>
          </c:cat>
          <c:val>
            <c:numRef>
              <c:f>SalesPivotTable!$L$114:$L$117</c:f>
              <c:numCache>
                <c:formatCode>General</c:formatCode>
                <c:ptCount val="3"/>
                <c:pt idx="0">
                  <c:v>1</c:v>
                </c:pt>
                <c:pt idx="1">
                  <c:v>6</c:v>
                </c:pt>
                <c:pt idx="2">
                  <c:v>6</c:v>
                </c:pt>
              </c:numCache>
            </c:numRef>
          </c:val>
          <c:smooth val="0"/>
          <c:extLst>
            <c:ext xmlns:c16="http://schemas.microsoft.com/office/drawing/2014/chart" uri="{C3380CC4-5D6E-409C-BE32-E72D297353CC}">
              <c16:uniqueId val="{00000002-E24B-4224-9F8E-F08AE76073F5}"/>
            </c:ext>
          </c:extLst>
        </c:ser>
        <c:dLbls>
          <c:showLegendKey val="0"/>
          <c:showVal val="0"/>
          <c:showCatName val="0"/>
          <c:showSerName val="0"/>
          <c:showPercent val="0"/>
          <c:showBubbleSize val="0"/>
        </c:dLbls>
        <c:marker val="1"/>
        <c:smooth val="0"/>
        <c:axId val="1833783952"/>
        <c:axId val="1833796912"/>
      </c:lineChart>
      <c:catAx>
        <c:axId val="183378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8752"/>
        <c:crosses val="autoZero"/>
        <c:auto val="1"/>
        <c:lblAlgn val="ctr"/>
        <c:lblOffset val="100"/>
        <c:noMultiLvlLbl val="0"/>
      </c:catAx>
      <c:valAx>
        <c:axId val="1833788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2992"/>
        <c:crosses val="autoZero"/>
        <c:crossBetween val="between"/>
      </c:valAx>
      <c:valAx>
        <c:axId val="1833796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3952"/>
        <c:crosses val="max"/>
        <c:crossBetween val="between"/>
      </c:valAx>
      <c:catAx>
        <c:axId val="1833783952"/>
        <c:scaling>
          <c:orientation val="minMax"/>
        </c:scaling>
        <c:delete val="1"/>
        <c:axPos val="b"/>
        <c:numFmt formatCode="General" sourceLinked="1"/>
        <c:majorTickMark val="out"/>
        <c:minorTickMark val="none"/>
        <c:tickLblPos val="nextTo"/>
        <c:crossAx val="18337969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SalesPivotTable!$P$93:$P$94</c:f>
              <c:strCache>
                <c:ptCount val="1"/>
                <c:pt idx="0">
                  <c:v>London</c:v>
                </c:pt>
              </c:strCache>
            </c:strRef>
          </c:cat>
          <c:val>
            <c:numRef>
              <c:f>SalesPivotTable!$Q$93:$Q$94</c:f>
              <c:numCache>
                <c:formatCode>[$$-409]#,##0.00</c:formatCode>
                <c:ptCount val="1"/>
                <c:pt idx="0">
                  <c:v>325</c:v>
                </c:pt>
              </c:numCache>
            </c:numRef>
          </c:val>
          <c:extLst>
            <c:ext xmlns:c16="http://schemas.microsoft.com/office/drawing/2014/chart" uri="{C3380CC4-5D6E-409C-BE32-E72D297353CC}">
              <c16:uniqueId val="{00000000-D760-4C9A-8673-B2ADDC4E09DD}"/>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SalesPivotTable!$P$93:$P$94</c:f>
              <c:strCache>
                <c:ptCount val="1"/>
                <c:pt idx="0">
                  <c:v>London</c:v>
                </c:pt>
              </c:strCache>
            </c:strRef>
          </c:cat>
          <c:val>
            <c:numRef>
              <c:f>SalesPivotTable!$R$93:$R$94</c:f>
              <c:numCache>
                <c:formatCode>[$$-409]#,##0.00</c:formatCode>
                <c:ptCount val="1"/>
                <c:pt idx="0">
                  <c:v>318.5</c:v>
                </c:pt>
              </c:numCache>
            </c:numRef>
          </c:val>
          <c:extLst>
            <c:ext xmlns:c16="http://schemas.microsoft.com/office/drawing/2014/chart" uri="{C3380CC4-5D6E-409C-BE32-E72D297353CC}">
              <c16:uniqueId val="{00000021-C4C5-4A98-BE4C-4C70845F3A40}"/>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SalesPivotTable!$P$93:$P$94</c:f>
              <c:strCache>
                <c:ptCount val="1"/>
                <c:pt idx="0">
                  <c:v>London</c:v>
                </c:pt>
              </c:strCache>
            </c:strRef>
          </c:cat>
          <c:val>
            <c:numRef>
              <c:f>SalesPivotTable!$S$93:$S$94</c:f>
              <c:numCache>
                <c:formatCode>[$$-409]#,##0.00</c:formatCode>
                <c:ptCount val="1"/>
                <c:pt idx="0">
                  <c:v>720</c:v>
                </c:pt>
              </c:numCache>
            </c:numRef>
          </c:val>
          <c:extLst>
            <c:ext xmlns:c16="http://schemas.microsoft.com/office/drawing/2014/chart" uri="{C3380CC4-5D6E-409C-BE32-E72D297353CC}">
              <c16:uniqueId val="{00000022-C4C5-4A98-BE4C-4C70845F3A40}"/>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by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SalesPivotTable!$M$49</c:f>
              <c:strCache>
                <c:ptCount val="1"/>
                <c:pt idx="0">
                  <c:v>Count of Qty</c:v>
                </c:pt>
              </c:strCache>
            </c:strRef>
          </c:tx>
          <c:spPr>
            <a:ln w="28575" cap="rnd">
              <a:solidFill>
                <a:schemeClr val="accent1"/>
              </a:solidFill>
              <a:round/>
            </a:ln>
            <a:effectLst/>
          </c:spPr>
          <c:marker>
            <c:symbol val="none"/>
          </c:marker>
          <c:cat>
            <c:multiLvlStrRef>
              <c:f>SalesPivotTable!$L$50:$L$67</c:f>
              <c:multiLvlStrCache>
                <c:ptCount val="13"/>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SalesPivotTable!$M$50:$M$67</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9D1A-452D-B6BA-A8A9796051A4}"/>
            </c:ext>
          </c:extLst>
        </c:ser>
        <c:ser>
          <c:idx val="1"/>
          <c:order val="1"/>
          <c:tx>
            <c:strRef>
              <c:f>SalesPivotTable!$N$49</c:f>
              <c:strCache>
                <c:ptCount val="1"/>
                <c:pt idx="0">
                  <c:v>Sum of Qty</c:v>
                </c:pt>
              </c:strCache>
            </c:strRef>
          </c:tx>
          <c:spPr>
            <a:ln w="28575" cap="rnd">
              <a:solidFill>
                <a:schemeClr val="accent2"/>
              </a:solidFill>
              <a:round/>
            </a:ln>
            <a:effectLst/>
          </c:spPr>
          <c:marker>
            <c:symbol val="none"/>
          </c:marker>
          <c:cat>
            <c:multiLvlStrRef>
              <c:f>SalesPivotTable!$L$50:$L$67</c:f>
              <c:multiLvlStrCache>
                <c:ptCount val="13"/>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SalesPivotTable!$N$50:$N$67</c:f>
              <c:numCache>
                <c:formatCode>General</c:formatCode>
                <c:ptCount val="13"/>
                <c:pt idx="0">
                  <c:v>5</c:v>
                </c:pt>
                <c:pt idx="1">
                  <c:v>2</c:v>
                </c:pt>
                <c:pt idx="2">
                  <c:v>2</c:v>
                </c:pt>
                <c:pt idx="3">
                  <c:v>1</c:v>
                </c:pt>
                <c:pt idx="4">
                  <c:v>2</c:v>
                </c:pt>
                <c:pt idx="5">
                  <c:v>1</c:v>
                </c:pt>
                <c:pt idx="6">
                  <c:v>2</c:v>
                </c:pt>
                <c:pt idx="7">
                  <c:v>1</c:v>
                </c:pt>
                <c:pt idx="8">
                  <c:v>5</c:v>
                </c:pt>
                <c:pt idx="9">
                  <c:v>2</c:v>
                </c:pt>
                <c:pt idx="10">
                  <c:v>3</c:v>
                </c:pt>
                <c:pt idx="11">
                  <c:v>2</c:v>
                </c:pt>
                <c:pt idx="12">
                  <c:v>4</c:v>
                </c:pt>
              </c:numCache>
            </c:numRef>
          </c:val>
          <c:smooth val="0"/>
          <c:extLst>
            <c:ext xmlns:c16="http://schemas.microsoft.com/office/drawing/2014/chart" uri="{C3380CC4-5D6E-409C-BE32-E72D297353CC}">
              <c16:uniqueId val="{00000001-9D1A-452D-B6BA-A8A9796051A4}"/>
            </c:ext>
          </c:extLst>
        </c:ser>
        <c:ser>
          <c:idx val="2"/>
          <c:order val="2"/>
          <c:tx>
            <c:strRef>
              <c:f>SalesPivotTable!$O$49</c:f>
              <c:strCache>
                <c:ptCount val="1"/>
                <c:pt idx="0">
                  <c:v>Percentageof Qty</c:v>
                </c:pt>
              </c:strCache>
            </c:strRef>
          </c:tx>
          <c:spPr>
            <a:ln w="28575" cap="rnd">
              <a:solidFill>
                <a:schemeClr val="accent3"/>
              </a:solidFill>
              <a:round/>
            </a:ln>
            <a:effectLst/>
          </c:spPr>
          <c:marker>
            <c:symbol val="none"/>
          </c:marker>
          <c:cat>
            <c:multiLvlStrRef>
              <c:f>SalesPivotTable!$L$50:$L$67</c:f>
              <c:multiLvlStrCache>
                <c:ptCount val="13"/>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SalesPivotTable!$O$50:$O$67</c:f>
              <c:numCache>
                <c:formatCode>0.00%</c:formatCode>
                <c:ptCount val="13"/>
                <c:pt idx="0">
                  <c:v>0.15625</c:v>
                </c:pt>
                <c:pt idx="1">
                  <c:v>6.25E-2</c:v>
                </c:pt>
                <c:pt idx="2">
                  <c:v>6.25E-2</c:v>
                </c:pt>
                <c:pt idx="3">
                  <c:v>3.125E-2</c:v>
                </c:pt>
                <c:pt idx="4">
                  <c:v>6.25E-2</c:v>
                </c:pt>
                <c:pt idx="5">
                  <c:v>3.125E-2</c:v>
                </c:pt>
                <c:pt idx="6">
                  <c:v>6.25E-2</c:v>
                </c:pt>
                <c:pt idx="7">
                  <c:v>3.125E-2</c:v>
                </c:pt>
                <c:pt idx="8">
                  <c:v>0.15625</c:v>
                </c:pt>
                <c:pt idx="9">
                  <c:v>6.25E-2</c:v>
                </c:pt>
                <c:pt idx="10">
                  <c:v>9.375E-2</c:v>
                </c:pt>
                <c:pt idx="11">
                  <c:v>6.25E-2</c:v>
                </c:pt>
                <c:pt idx="12">
                  <c:v>0.125</c:v>
                </c:pt>
              </c:numCache>
            </c:numRef>
          </c:val>
          <c:smooth val="0"/>
          <c:extLst>
            <c:ext xmlns:c16="http://schemas.microsoft.com/office/drawing/2014/chart" uri="{C3380CC4-5D6E-409C-BE32-E72D297353CC}">
              <c16:uniqueId val="{00000002-9D1A-452D-B6BA-A8A9796051A4}"/>
            </c:ext>
          </c:extLst>
        </c:ser>
        <c:dLbls>
          <c:showLegendKey val="0"/>
          <c:showVal val="0"/>
          <c:showCatName val="0"/>
          <c:showSerName val="0"/>
          <c:showPercent val="0"/>
          <c:showBubbleSize val="0"/>
        </c:dLbls>
        <c:smooth val="0"/>
        <c:axId val="1796484000"/>
        <c:axId val="1796479680"/>
      </c:lineChart>
      <c:catAx>
        <c:axId val="1796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79680"/>
        <c:crosses val="autoZero"/>
        <c:auto val="1"/>
        <c:lblAlgn val="ctr"/>
        <c:lblOffset val="100"/>
        <c:noMultiLvlLbl val="0"/>
      </c:catAx>
      <c:valAx>
        <c:axId val="17964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London</c:v>
                </c:pt>
              </c:strCache>
            </c:strRef>
          </c:cat>
          <c:val>
            <c:numRef>
              <c:f>SalesPivotTable!$B$4:$B$5</c:f>
              <c:numCache>
                <c:formatCode>[$$-409]#,##0.00</c:formatCode>
                <c:ptCount val="1"/>
                <c:pt idx="0">
                  <c:v>1363.5</c:v>
                </c:pt>
              </c:numCache>
            </c:numRef>
          </c:val>
          <c:extLst>
            <c:ext xmlns:c16="http://schemas.microsoft.com/office/drawing/2014/chart" uri="{C3380CC4-5D6E-409C-BE32-E72D297353CC}">
              <c16:uniqueId val="{00000000-D0FF-4837-A538-262C5EBC8737}"/>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London</c:v>
                </c:pt>
              </c:strCache>
            </c:strRef>
          </c:cat>
          <c:val>
            <c:numRef>
              <c:f>SalesPivotTable!$C$4:$C$5</c:f>
              <c:numCache>
                <c:formatCode>General</c:formatCode>
                <c:ptCount val="1"/>
                <c:pt idx="0">
                  <c:v>13</c:v>
                </c:pt>
              </c:numCache>
            </c:numRef>
          </c:val>
          <c:extLst>
            <c:ext xmlns:c16="http://schemas.microsoft.com/office/drawing/2014/chart" uri="{C3380CC4-5D6E-409C-BE32-E72D297353CC}">
              <c16:uniqueId val="{00000001-D0FF-4837-A538-262C5EBC8737}"/>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London</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D0FF-4837-A538-262C5EBC8737}"/>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SalesPivotTable!$B$45:$B$75</c:f>
              <c:multiLvlStrCache>
                <c:ptCount val="13"/>
                <c:lvl>
                  <c:pt idx="0">
                    <c:v>3-Feb-2025</c:v>
                  </c:pt>
                  <c:pt idx="1">
                    <c:v>1-Mar-2025</c:v>
                  </c:pt>
                  <c:pt idx="2">
                    <c:v>7-Mar-2025</c:v>
                  </c:pt>
                  <c:pt idx="3">
                    <c:v>9-Mar-2025</c:v>
                  </c:pt>
                  <c:pt idx="4">
                    <c:v>13-Mar-2025</c:v>
                  </c:pt>
                  <c:pt idx="5">
                    <c:v>14-Mar-2025</c:v>
                  </c:pt>
                  <c:pt idx="6">
                    <c:v>17-Mar-2025</c:v>
                  </c:pt>
                  <c:pt idx="7">
                    <c:v>19-Mar-2025</c:v>
                  </c:pt>
                  <c:pt idx="8">
                    <c:v>20-Mar-2025</c:v>
                  </c:pt>
                  <c:pt idx="9">
                    <c:v>23-Mar-2025</c:v>
                  </c:pt>
                  <c:pt idx="10">
                    <c:v>24-Mar-2025</c:v>
                  </c:pt>
                  <c:pt idx="11">
                    <c:v>3-Apr-2025</c:v>
                  </c:pt>
                  <c:pt idx="12">
                    <c:v>3-Nov-2025</c:v>
                  </c:pt>
                </c:lvl>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SalesPivotTable!$C$45:$C$75</c:f>
              <c:numCache>
                <c:formatCode>[$$-409]#,##0.00</c:formatCode>
                <c:ptCount val="13"/>
                <c:pt idx="0">
                  <c:v>125</c:v>
                </c:pt>
                <c:pt idx="1">
                  <c:v>50</c:v>
                </c:pt>
                <c:pt idx="2">
                  <c:v>120</c:v>
                </c:pt>
                <c:pt idx="3">
                  <c:v>25</c:v>
                </c:pt>
                <c:pt idx="4">
                  <c:v>91</c:v>
                </c:pt>
                <c:pt idx="5">
                  <c:v>25</c:v>
                </c:pt>
                <c:pt idx="6">
                  <c:v>120</c:v>
                </c:pt>
                <c:pt idx="7">
                  <c:v>45.5</c:v>
                </c:pt>
                <c:pt idx="8">
                  <c:v>300</c:v>
                </c:pt>
                <c:pt idx="9">
                  <c:v>91</c:v>
                </c:pt>
                <c:pt idx="10">
                  <c:v>180</c:v>
                </c:pt>
                <c:pt idx="11">
                  <c:v>91</c:v>
                </c:pt>
                <c:pt idx="12">
                  <c:v>100</c:v>
                </c:pt>
              </c:numCache>
            </c:numRef>
          </c:val>
          <c:smooth val="0"/>
          <c:extLst>
            <c:ext xmlns:c16="http://schemas.microsoft.com/office/drawing/2014/chart" uri="{C3380CC4-5D6E-409C-BE32-E72D297353CC}">
              <c16:uniqueId val="{00000000-7F7E-4E70-90A8-7DCE63E0E0BE}"/>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SalesPivotTable!$B$45:$B$75</c:f>
              <c:multiLvlStrCache>
                <c:ptCount val="13"/>
                <c:lvl>
                  <c:pt idx="0">
                    <c:v>3-Feb-2025</c:v>
                  </c:pt>
                  <c:pt idx="1">
                    <c:v>1-Mar-2025</c:v>
                  </c:pt>
                  <c:pt idx="2">
                    <c:v>7-Mar-2025</c:v>
                  </c:pt>
                  <c:pt idx="3">
                    <c:v>9-Mar-2025</c:v>
                  </c:pt>
                  <c:pt idx="4">
                    <c:v>13-Mar-2025</c:v>
                  </c:pt>
                  <c:pt idx="5">
                    <c:v>14-Mar-2025</c:v>
                  </c:pt>
                  <c:pt idx="6">
                    <c:v>17-Mar-2025</c:v>
                  </c:pt>
                  <c:pt idx="7">
                    <c:v>19-Mar-2025</c:v>
                  </c:pt>
                  <c:pt idx="8">
                    <c:v>20-Mar-2025</c:v>
                  </c:pt>
                  <c:pt idx="9">
                    <c:v>23-Mar-2025</c:v>
                  </c:pt>
                  <c:pt idx="10">
                    <c:v>24-Mar-2025</c:v>
                  </c:pt>
                  <c:pt idx="11">
                    <c:v>3-Apr-2025</c:v>
                  </c:pt>
                  <c:pt idx="12">
                    <c:v>3-Nov-2025</c:v>
                  </c:pt>
                </c:lvl>
                <c:lvl>
                  <c:pt idx="0">
                    <c:v>3-Feb</c:v>
                  </c:pt>
                  <c:pt idx="1">
                    <c:v>1-Mar</c:v>
                  </c:pt>
                  <c:pt idx="2">
                    <c:v>7-Mar</c:v>
                  </c:pt>
                  <c:pt idx="3">
                    <c:v>9-Mar</c:v>
                  </c:pt>
                  <c:pt idx="4">
                    <c:v>13-Mar</c:v>
                  </c:pt>
                  <c:pt idx="5">
                    <c:v>14-Mar</c:v>
                  </c:pt>
                  <c:pt idx="6">
                    <c:v>17-Mar</c:v>
                  </c:pt>
                  <c:pt idx="7">
                    <c:v>19-Mar</c:v>
                  </c:pt>
                  <c:pt idx="8">
                    <c:v>20-Mar</c:v>
                  </c:pt>
                  <c:pt idx="9">
                    <c:v>23-Mar</c:v>
                  </c:pt>
                  <c:pt idx="10">
                    <c:v>24-Mar</c:v>
                  </c:pt>
                  <c:pt idx="11">
                    <c:v>3-Apr</c:v>
                  </c:pt>
                  <c:pt idx="12">
                    <c:v>3-Nov</c:v>
                  </c:pt>
                </c:lvl>
                <c:lvl>
                  <c:pt idx="0">
                    <c:v>Feb</c:v>
                  </c:pt>
                  <c:pt idx="1">
                    <c:v>Mar</c:v>
                  </c:pt>
                  <c:pt idx="11">
                    <c:v>Apr</c:v>
                  </c:pt>
                  <c:pt idx="12">
                    <c:v>Nov</c:v>
                  </c:pt>
                </c:lvl>
              </c:multiLvlStrCache>
            </c:multiLvlStrRef>
          </c:cat>
          <c:val>
            <c:numRef>
              <c:f>SalesPivotTable!$D$45:$D$75</c:f>
              <c:numCache>
                <c:formatCode>0.00%</c:formatCode>
                <c:ptCount val="13"/>
                <c:pt idx="0">
                  <c:v>9.1675834250091681E-2</c:v>
                </c:pt>
                <c:pt idx="1">
                  <c:v>3.6670333700036667E-2</c:v>
                </c:pt>
                <c:pt idx="2">
                  <c:v>8.8008800880088014E-2</c:v>
                </c:pt>
                <c:pt idx="3">
                  <c:v>1.8335166850018333E-2</c:v>
                </c:pt>
                <c:pt idx="4">
                  <c:v>6.6740007334066737E-2</c:v>
                </c:pt>
                <c:pt idx="5">
                  <c:v>1.8335166850018333E-2</c:v>
                </c:pt>
                <c:pt idx="6">
                  <c:v>8.8008800880088014E-2</c:v>
                </c:pt>
                <c:pt idx="7">
                  <c:v>3.3370003667033368E-2</c:v>
                </c:pt>
                <c:pt idx="8">
                  <c:v>0.22002200220022003</c:v>
                </c:pt>
                <c:pt idx="9">
                  <c:v>6.6740007334066737E-2</c:v>
                </c:pt>
                <c:pt idx="10">
                  <c:v>0.132013201320132</c:v>
                </c:pt>
                <c:pt idx="11">
                  <c:v>6.6740007334066737E-2</c:v>
                </c:pt>
                <c:pt idx="12">
                  <c:v>7.3340667400073334E-2</c:v>
                </c:pt>
              </c:numCache>
            </c:numRef>
          </c:val>
          <c:smooth val="0"/>
          <c:extLst>
            <c:ext xmlns:c16="http://schemas.microsoft.com/office/drawing/2014/chart" uri="{C3380CC4-5D6E-409C-BE32-E72D297353CC}">
              <c16:uniqueId val="{00000001-7F7E-4E70-90A8-7DCE63E0E0BE}"/>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[Excel-Sales-Dasboard-Project.xlsx]SalesPivotTable!PivotTable35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SalesPivotTable!$P$93:$P$94</c:f>
              <c:strCache>
                <c:ptCount val="1"/>
                <c:pt idx="0">
                  <c:v>London</c:v>
                </c:pt>
              </c:strCache>
            </c:strRef>
          </c:cat>
          <c:val>
            <c:numRef>
              <c:f>SalesPivotTable!$Q$93:$Q$94</c:f>
              <c:numCache>
                <c:formatCode>[$$-409]#,##0.00</c:formatCode>
                <c:ptCount val="1"/>
                <c:pt idx="0">
                  <c:v>325</c:v>
                </c:pt>
              </c:numCache>
            </c:numRef>
          </c:val>
          <c:extLst>
            <c:ext xmlns:c16="http://schemas.microsoft.com/office/drawing/2014/chart" uri="{C3380CC4-5D6E-409C-BE32-E72D297353CC}">
              <c16:uniqueId val="{00000000-9971-47F9-96FE-6DDD8739D2CE}"/>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SalesPivotTable!$P$93:$P$94</c:f>
              <c:strCache>
                <c:ptCount val="1"/>
                <c:pt idx="0">
                  <c:v>London</c:v>
                </c:pt>
              </c:strCache>
            </c:strRef>
          </c:cat>
          <c:val>
            <c:numRef>
              <c:f>SalesPivotTable!$R$93:$R$94</c:f>
              <c:numCache>
                <c:formatCode>[$$-409]#,##0.00</c:formatCode>
                <c:ptCount val="1"/>
                <c:pt idx="0">
                  <c:v>318.5</c:v>
                </c:pt>
              </c:numCache>
            </c:numRef>
          </c:val>
          <c:extLst>
            <c:ext xmlns:c16="http://schemas.microsoft.com/office/drawing/2014/chart" uri="{C3380CC4-5D6E-409C-BE32-E72D297353CC}">
              <c16:uniqueId val="{00000022-50A2-46EA-B0B6-B7DC8A8B3310}"/>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SalesPivotTable!$P$93:$P$94</c:f>
              <c:strCache>
                <c:ptCount val="1"/>
                <c:pt idx="0">
                  <c:v>London</c:v>
                </c:pt>
              </c:strCache>
            </c:strRef>
          </c:cat>
          <c:val>
            <c:numRef>
              <c:f>SalesPivotTable!$S$93:$S$94</c:f>
              <c:numCache>
                <c:formatCode>[$$-409]#,##0.00</c:formatCode>
                <c:ptCount val="1"/>
                <c:pt idx="0">
                  <c:v>720</c:v>
                </c:pt>
              </c:numCache>
            </c:numRef>
          </c:val>
          <c:extLst>
            <c:ext xmlns:c16="http://schemas.microsoft.com/office/drawing/2014/chart" uri="{C3380CC4-5D6E-409C-BE32-E72D297353CC}">
              <c16:uniqueId val="{00000023-50A2-46EA-B0B6-B7DC8A8B3310}"/>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0.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42334</xdr:colOff>
      <xdr:row>66</xdr:row>
      <xdr:rowOff>91351</xdr:rowOff>
    </xdr:from>
    <xdr:to>
      <xdr:col>10</xdr:col>
      <xdr:colOff>222249</xdr:colOff>
      <xdr:row>87</xdr:row>
      <xdr:rowOff>116417</xdr:rowOff>
    </xdr:to>
    <xdr:graphicFrame macro="">
      <xdr:nvGraphicFramePr>
        <xdr:cNvPr id="2" name="Chart 1">
          <a:extLst>
            <a:ext uri="{FF2B5EF4-FFF2-40B4-BE49-F238E27FC236}">
              <a16:creationId xmlns:a16="http://schemas.microsoft.com/office/drawing/2014/main" id="{395F1D72-8752-39B6-535A-ABE27627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163040</xdr:colOff>
      <xdr:row>108</xdr:row>
      <xdr:rowOff>177799</xdr:rowOff>
    </xdr:from>
    <xdr:to>
      <xdr:col>7</xdr:col>
      <xdr:colOff>37035</xdr:colOff>
      <xdr:row>127</xdr:row>
      <xdr:rowOff>84061</xdr:rowOff>
    </xdr:to>
    <xdr:graphicFrame macro="">
      <xdr:nvGraphicFramePr>
        <xdr:cNvPr id="3" name="Chart 2">
          <a:extLst>
            <a:ext uri="{FF2B5EF4-FFF2-40B4-BE49-F238E27FC236}">
              <a16:creationId xmlns:a16="http://schemas.microsoft.com/office/drawing/2014/main" id="{77EF6647-562D-0CCD-AC3E-427CEE6F5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893233</xdr:colOff>
      <xdr:row>45</xdr:row>
      <xdr:rowOff>124884</xdr:rowOff>
    </xdr:from>
    <xdr:to>
      <xdr:col>36</xdr:col>
      <xdr:colOff>586316</xdr:colOff>
      <xdr:row>65</xdr:row>
      <xdr:rowOff>63501</xdr:rowOff>
    </xdr:to>
    <xdr:graphicFrame macro="">
      <xdr:nvGraphicFramePr>
        <xdr:cNvPr id="4" name="Chart 3">
          <a:extLst>
            <a:ext uri="{FF2B5EF4-FFF2-40B4-BE49-F238E27FC236}">
              <a16:creationId xmlns:a16="http://schemas.microsoft.com/office/drawing/2014/main" id="{37DCB79C-CBCF-0963-EF0A-4EB2C4154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237065</xdr:colOff>
      <xdr:row>1</xdr:row>
      <xdr:rowOff>69847</xdr:rowOff>
    </xdr:from>
    <xdr:to>
      <xdr:col>29</xdr:col>
      <xdr:colOff>839107</xdr:colOff>
      <xdr:row>25</xdr:row>
      <xdr:rowOff>158750</xdr:rowOff>
    </xdr:to>
    <xdr:graphicFrame macro="">
      <xdr:nvGraphicFramePr>
        <xdr:cNvPr id="5" name="Chart 4">
          <a:extLst>
            <a:ext uri="{FF2B5EF4-FFF2-40B4-BE49-F238E27FC236}">
              <a16:creationId xmlns:a16="http://schemas.microsoft.com/office/drawing/2014/main" id="{35309506-D2D3-B3F3-EAB0-234750A62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661601</xdr:colOff>
      <xdr:row>0</xdr:row>
      <xdr:rowOff>91474</xdr:rowOff>
    </xdr:from>
    <xdr:to>
      <xdr:col>9</xdr:col>
      <xdr:colOff>51485</xdr:colOff>
      <xdr:row>20</xdr:row>
      <xdr:rowOff>102974</xdr:rowOff>
    </xdr:to>
    <xdr:graphicFrame macro="">
      <xdr:nvGraphicFramePr>
        <xdr:cNvPr id="16" name="Chart 15">
          <a:extLst>
            <a:ext uri="{FF2B5EF4-FFF2-40B4-BE49-F238E27FC236}">
              <a16:creationId xmlns:a16="http://schemas.microsoft.com/office/drawing/2014/main" id="{4E1B98CC-EF8B-3EA2-0305-CE48AA5A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518582</xdr:colOff>
      <xdr:row>22</xdr:row>
      <xdr:rowOff>41273</xdr:rowOff>
    </xdr:from>
    <xdr:to>
      <xdr:col>8</xdr:col>
      <xdr:colOff>243417</xdr:colOff>
      <xdr:row>40</xdr:row>
      <xdr:rowOff>105832</xdr:rowOff>
    </xdr:to>
    <xdr:graphicFrame macro="">
      <xdr:nvGraphicFramePr>
        <xdr:cNvPr id="17" name="Chart 16">
          <a:extLst>
            <a:ext uri="{FF2B5EF4-FFF2-40B4-BE49-F238E27FC236}">
              <a16:creationId xmlns:a16="http://schemas.microsoft.com/office/drawing/2014/main" id="{EEA8989A-5E5F-54DF-EE4E-72743F246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68035</xdr:colOff>
      <xdr:row>129</xdr:row>
      <xdr:rowOff>452</xdr:rowOff>
    </xdr:from>
    <xdr:to>
      <xdr:col>12</xdr:col>
      <xdr:colOff>907143</xdr:colOff>
      <xdr:row>151</xdr:row>
      <xdr:rowOff>34018</xdr:rowOff>
    </xdr:to>
    <xdr:graphicFrame macro="">
      <xdr:nvGraphicFramePr>
        <xdr:cNvPr id="19" name="Chart 18">
          <a:extLst>
            <a:ext uri="{FF2B5EF4-FFF2-40B4-BE49-F238E27FC236}">
              <a16:creationId xmlns:a16="http://schemas.microsoft.com/office/drawing/2014/main" id="{532F2143-01F2-CD5B-71F5-29CB0CD92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362857</xdr:colOff>
      <xdr:row>99</xdr:row>
      <xdr:rowOff>166419</xdr:rowOff>
    </xdr:from>
    <xdr:to>
      <xdr:col>23</xdr:col>
      <xdr:colOff>107207</xdr:colOff>
      <xdr:row>115</xdr:row>
      <xdr:rowOff>156687</xdr:rowOff>
    </xdr:to>
    <xdr:graphicFrame macro="">
      <xdr:nvGraphicFramePr>
        <xdr:cNvPr id="22" name="Chart 21">
          <a:extLst>
            <a:ext uri="{FF2B5EF4-FFF2-40B4-BE49-F238E27FC236}">
              <a16:creationId xmlns:a16="http://schemas.microsoft.com/office/drawing/2014/main" id="{A946DFE9-0992-F1F6-4574-829C86DE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328219</xdr:colOff>
      <xdr:row>50</xdr:row>
      <xdr:rowOff>158172</xdr:rowOff>
    </xdr:from>
    <xdr:to>
      <xdr:col>25</xdr:col>
      <xdr:colOff>321622</xdr:colOff>
      <xdr:row>69</xdr:row>
      <xdr:rowOff>65973</xdr:rowOff>
    </xdr:to>
    <xdr:graphicFrame macro="">
      <xdr:nvGraphicFramePr>
        <xdr:cNvPr id="23" name="Chart 22">
          <a:extLst>
            <a:ext uri="{FF2B5EF4-FFF2-40B4-BE49-F238E27FC236}">
              <a16:creationId xmlns:a16="http://schemas.microsoft.com/office/drawing/2014/main" id="{71519469-3719-5ECC-E83B-6D785850A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170790</xdr:colOff>
      <xdr:row>128</xdr:row>
      <xdr:rowOff>41234</xdr:rowOff>
    </xdr:from>
    <xdr:to>
      <xdr:col>2</xdr:col>
      <xdr:colOff>497056</xdr:colOff>
      <xdr:row>134</xdr:row>
      <xdr:rowOff>176069</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DFE32AEF-3118-84B2-D68F-38BB21D41BE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0790" y="24425234"/>
              <a:ext cx="3191236" cy="12778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567987</xdr:colOff>
      <xdr:row>47</xdr:row>
      <xdr:rowOff>120650</xdr:rowOff>
    </xdr:from>
    <xdr:to>
      <xdr:col>29</xdr:col>
      <xdr:colOff>7259</xdr:colOff>
      <xdr:row>59</xdr:row>
      <xdr:rowOff>105451</xdr:rowOff>
    </xdr:to>
    <mc:AlternateContent xmlns:mc="http://schemas.openxmlformats.org/markup-compatibility/2006" xmlns:a14="http://schemas.microsoft.com/office/drawing/2010/main">
      <mc:Choice Requires="a14">
        <xdr:graphicFrame macro="">
          <xdr:nvGraphicFramePr>
            <xdr:cNvPr id="25" name="SalesRep">
              <a:extLst>
                <a:ext uri="{FF2B5EF4-FFF2-40B4-BE49-F238E27FC236}">
                  <a16:creationId xmlns:a16="http://schemas.microsoft.com/office/drawing/2014/main" id="{7A19E3E5-3C17-2DA4-6815-83EBC40FCEC9}"/>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40160237" y="9074150"/>
              <a:ext cx="1810561" cy="2270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12</xdr:row>
      <xdr:rowOff>28863</xdr:rowOff>
    </xdr:from>
    <xdr:to>
      <xdr:col>2</xdr:col>
      <xdr:colOff>0</xdr:colOff>
      <xdr:row>21</xdr:row>
      <xdr:rowOff>0</xdr:rowOff>
    </xdr:to>
    <mc:AlternateContent xmlns:mc="http://schemas.openxmlformats.org/markup-compatibility/2006">
      <mc:Choice xmlns:a14="http://schemas.microsoft.com/office/drawing/2010/main" Requires="a14">
        <xdr:graphicFrame macro="">
          <xdr:nvGraphicFramePr>
            <xdr:cNvPr id="4" name="TotalSales">
              <a:extLst>
                <a:ext uri="{FF2B5EF4-FFF2-40B4-BE49-F238E27FC236}">
                  <a16:creationId xmlns:a16="http://schemas.microsoft.com/office/drawing/2014/main" id="{59BFFFD8-7756-4FC7-A811-66A5885A445D}"/>
                </a:ext>
              </a:extLst>
            </xdr:cNvPr>
            <xdr:cNvGraphicFramePr/>
          </xdr:nvGraphicFramePr>
          <xdr:xfrm>
            <a:off x="0" y="0"/>
            <a:ext cx="0" cy="0"/>
          </xdr:xfrm>
          <a:graphic>
            <a:graphicData uri="http://schemas.microsoft.com/office/drawing/2010/slicer">
              <sle:slicer xmlns:sle="http://schemas.microsoft.com/office/drawing/2010/slicer" name="TotalSales"/>
            </a:graphicData>
          </a:graphic>
        </xdr:graphicFrame>
      </mc:Choice>
      <mc:Fallback>
        <xdr:sp macro="" textlink="">
          <xdr:nvSpPr>
            <xdr:cNvPr id="0" name=""/>
            <xdr:cNvSpPr>
              <a:spLocks noTextEdit="1"/>
            </xdr:cNvSpPr>
          </xdr:nvSpPr>
          <xdr:spPr>
            <a:xfrm>
              <a:off x="0" y="3188744"/>
              <a:ext cx="2010833" cy="1603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14430</xdr:colOff>
      <xdr:row>4</xdr:row>
      <xdr:rowOff>-1</xdr:rowOff>
    </xdr:from>
    <xdr:to>
      <xdr:col>8</xdr:col>
      <xdr:colOff>0</xdr:colOff>
      <xdr:row>11</xdr:row>
      <xdr:rowOff>66106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7EB268A-4D7C-4A9D-8322-83F3329ECC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02644" y="1285118"/>
              <a:ext cx="3024499" cy="1759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0</xdr:colOff>
      <xdr:row>4</xdr:row>
      <xdr:rowOff>-1</xdr:rowOff>
    </xdr:from>
    <xdr:to>
      <xdr:col>5</xdr:col>
      <xdr:colOff>0</xdr:colOff>
      <xdr:row>11</xdr:row>
      <xdr:rowOff>66106</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85BE9DE1-B277-45E7-81AA-7E79D74BEE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676071" y="1285118"/>
              <a:ext cx="2146905" cy="1759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14431</xdr:colOff>
      <xdr:row>12</xdr:row>
      <xdr:rowOff>0</xdr:rowOff>
    </xdr:from>
    <xdr:to>
      <xdr:col>5</xdr:col>
      <xdr:colOff>0</xdr:colOff>
      <xdr:row>21</xdr:row>
      <xdr:rowOff>0</xdr:rowOff>
    </xdr:to>
    <mc:AlternateContent xmlns:mc="http://schemas.openxmlformats.org/markup-compatibility/2006">
      <mc:Choice xmlns:a14="http://schemas.microsoft.com/office/drawing/2010/main" Requires="a14">
        <xdr:graphicFrame macro="">
          <xdr:nvGraphicFramePr>
            <xdr:cNvPr id="9" name="CustomerName">
              <a:extLst>
                <a:ext uri="{FF2B5EF4-FFF2-40B4-BE49-F238E27FC236}">
                  <a16:creationId xmlns:a16="http://schemas.microsoft.com/office/drawing/2014/main" id="{52527916-23C1-4A24-B653-22AEB13AE3E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2690502" y="3159881"/>
              <a:ext cx="2132474" cy="163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0</xdr:colOff>
      <xdr:row>12</xdr:row>
      <xdr:rowOff>10266</xdr:rowOff>
    </xdr:from>
    <xdr:to>
      <xdr:col>8</xdr:col>
      <xdr:colOff>0</xdr:colOff>
      <xdr:row>21</xdr:row>
      <xdr:rowOff>0</xdr:rowOff>
    </xdr:to>
    <mc:AlternateContent xmlns:mc="http://schemas.openxmlformats.org/markup-compatibility/2006">
      <mc:Choice xmlns:a14="http://schemas.microsoft.com/office/drawing/2010/main" Requires="a14">
        <xdr:graphicFrame macro="">
          <xdr:nvGraphicFramePr>
            <xdr:cNvPr id="10" name="Date">
              <a:extLst>
                <a:ext uri="{FF2B5EF4-FFF2-40B4-BE49-F238E27FC236}">
                  <a16:creationId xmlns:a16="http://schemas.microsoft.com/office/drawing/2014/main" id="{3C48AE63-43FD-4466-94B4-C025949D132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488214" y="3170147"/>
              <a:ext cx="3038929" cy="1622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1121213</xdr:colOff>
      <xdr:row>40</xdr:row>
      <xdr:rowOff>0</xdr:rowOff>
    </xdr:from>
    <xdr:to>
      <xdr:col>12</xdr:col>
      <xdr:colOff>0</xdr:colOff>
      <xdr:row>54</xdr:row>
      <xdr:rowOff>181262</xdr:rowOff>
    </xdr:to>
    <xdr:graphicFrame macro="">
      <xdr:nvGraphicFramePr>
        <xdr:cNvPr id="13" name="Chart 12">
          <a:extLst>
            <a:ext uri="{FF2B5EF4-FFF2-40B4-BE49-F238E27FC236}">
              <a16:creationId xmlns:a16="http://schemas.microsoft.com/office/drawing/2014/main" id="{9992D72C-5CC2-442A-97A5-6B8456A5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1057462</xdr:colOff>
      <xdr:row>2</xdr:row>
      <xdr:rowOff>329320</xdr:rowOff>
    </xdr:from>
    <xdr:to>
      <xdr:col>11</xdr:col>
      <xdr:colOff>151983</xdr:colOff>
      <xdr:row>4</xdr:row>
      <xdr:rowOff>15544</xdr:rowOff>
    </xdr:to>
    <xdr:pic>
      <xdr:nvPicPr>
        <xdr:cNvPr id="15" name="Graphic 14" descr="Star with solid fill">
          <a:extLst>
            <a:ext uri="{FF2B5EF4-FFF2-40B4-BE49-F238E27FC236}">
              <a16:creationId xmlns:a16="http://schemas.microsoft.com/office/drawing/2014/main" id="{105A02B2-47FA-0E39-27A7-4B815D5F9B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70076" y="921025"/>
          <a:ext cx="436680" cy="391056"/>
        </a:xfrm>
        <a:prstGeom prst="rect">
          <a:avLst/>
        </a:prstGeom>
      </xdr:spPr>
    </xdr:pic>
    <xdr:clientData/>
  </xdr:twoCellAnchor>
  <xdr:twoCellAnchor editAs="absolute">
    <xdr:from>
      <xdr:col>0</xdr:col>
      <xdr:colOff>0</xdr:colOff>
      <xdr:row>21</xdr:row>
      <xdr:rowOff>134975</xdr:rowOff>
    </xdr:from>
    <xdr:to>
      <xdr:col>12</xdr:col>
      <xdr:colOff>0</xdr:colOff>
      <xdr:row>39</xdr:row>
      <xdr:rowOff>0</xdr:rowOff>
    </xdr:to>
    <xdr:graphicFrame macro="">
      <xdr:nvGraphicFramePr>
        <xdr:cNvPr id="18" name="Chart 17">
          <a:extLst>
            <a:ext uri="{FF2B5EF4-FFF2-40B4-BE49-F238E27FC236}">
              <a16:creationId xmlns:a16="http://schemas.microsoft.com/office/drawing/2014/main" id="{F7E97592-5EFC-4843-8F98-CDEBDE42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40</xdr:row>
      <xdr:rowOff>1320</xdr:rowOff>
    </xdr:from>
    <xdr:to>
      <xdr:col>6</xdr:col>
      <xdr:colOff>806621</xdr:colOff>
      <xdr:row>55</xdr:row>
      <xdr:rowOff>0</xdr:rowOff>
    </xdr:to>
    <xdr:graphicFrame macro="">
      <xdr:nvGraphicFramePr>
        <xdr:cNvPr id="19" name="Chart 18">
          <a:extLst>
            <a:ext uri="{FF2B5EF4-FFF2-40B4-BE49-F238E27FC236}">
              <a16:creationId xmlns:a16="http://schemas.microsoft.com/office/drawing/2014/main" id="{10EC467C-A239-4C2E-B538-523B2AB0F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12</xdr:row>
      <xdr:rowOff>0</xdr:rowOff>
    </xdr:from>
    <xdr:to>
      <xdr:col>12</xdr:col>
      <xdr:colOff>0</xdr:colOff>
      <xdr:row>21</xdr:row>
      <xdr:rowOff>0</xdr:rowOff>
    </xdr:to>
    <mc:AlternateContent xmlns:mc="http://schemas.openxmlformats.org/markup-compatibility/2006">
      <mc:Choice xmlns:a14="http://schemas.microsoft.com/office/drawing/2010/main" Requires="a14">
        <xdr:graphicFrame macro="">
          <xdr:nvGraphicFramePr>
            <xdr:cNvPr id="21" name="SalesRep 1">
              <a:extLst>
                <a:ext uri="{FF2B5EF4-FFF2-40B4-BE49-F238E27FC236}">
                  <a16:creationId xmlns:a16="http://schemas.microsoft.com/office/drawing/2014/main" id="{5F37D0F1-9B6B-473B-81F2-5D521DE8441A}"/>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dr:sp macro="" textlink="">
          <xdr:nvSpPr>
            <xdr:cNvPr id="0" name=""/>
            <xdr:cNvSpPr>
              <a:spLocks noTextEdit="1"/>
            </xdr:cNvSpPr>
          </xdr:nvSpPr>
          <xdr:spPr>
            <a:xfrm>
              <a:off x="9192381" y="3159881"/>
              <a:ext cx="4006548" cy="163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18473</xdr:colOff>
      <xdr:row>3</xdr:row>
      <xdr:rowOff>329710</xdr:rowOff>
    </xdr:from>
    <xdr:to>
      <xdr:col>2</xdr:col>
      <xdr:colOff>0</xdr:colOff>
      <xdr:row>11</xdr:row>
      <xdr:rowOff>0</xdr:rowOff>
    </xdr:to>
    <mc:AlternateContent xmlns:mc="http://schemas.openxmlformats.org/markup-compatibility/2006">
      <mc:Choice xmlns:tsle="http://schemas.microsoft.com/office/drawing/2012/timeslicer" Requires="tsle">
        <xdr:graphicFrame macro="">
          <xdr:nvGraphicFramePr>
            <xdr:cNvPr id="22" name="Date 2">
              <a:extLst>
                <a:ext uri="{FF2B5EF4-FFF2-40B4-BE49-F238E27FC236}">
                  <a16:creationId xmlns:a16="http://schemas.microsoft.com/office/drawing/2014/main" id="{B9C50DBD-00AA-4B21-B863-809EA02CB771}"/>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8473" y="1282210"/>
              <a:ext cx="1992360" cy="16962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6.800015624998" createdVersion="8" refreshedVersion="8" minRefreshableVersion="3" recordCount="30" xr:uid="{6477072A-1F00-48BB-A122-D00A2CBD8F7F}">
  <cacheSource type="worksheet">
    <worksheetSource name="SalesRawClean"/>
  </cacheSource>
  <cacheFields count="14">
    <cacheField name="OrderID" numFmtId="0">
      <sharedItems containsSemiMixedTypes="0" containsString="0" containsNumber="1" containsInteger="1" minValue="1001" maxValue="1030"/>
    </cacheField>
    <cacheField name="Date" numFmtId="165">
      <sharedItems containsSemiMixedTypes="0" containsNonDate="0" containsDate="1" containsString="0" minDate="2025-01-03T00:00:00" maxDate="2025-11-04T00:00:00" count="28">
        <d v="2025-03-04T00:00:00"/>
        <d v="2025-03-08T00:00:00"/>
        <d v="2025-03-20T00:00:00"/>
        <d v="2025-03-22T00:00:00"/>
        <d v="2025-01-03T00:00:00"/>
        <d v="2025-03-09T00:00:00"/>
        <d v="2025-03-06T00:00:00"/>
        <d v="2025-03-15T00:00:00"/>
        <d v="2025-03-18T00:00:00"/>
        <d v="2025-03-03T00:00:00"/>
        <d v="2025-03-12T00:00:00"/>
        <d v="2025-03-24T00:00:00"/>
        <d v="2025-08-03T00:00:00"/>
        <d v="2025-02-03T00:00:00"/>
        <d v="2025-03-05T00:00:00"/>
        <d v="2025-11-03T00:00:00"/>
        <d v="2025-03-21T00:00:00"/>
        <d v="2025-03-07T00:00:00"/>
        <d v="2025-03-17T00:00:00"/>
        <d v="2025-03-10T00:00:00"/>
        <d v="2025-03-13T00:00:00"/>
        <d v="2025-03-16T00:00:00"/>
        <d v="2025-03-23T00:00:00"/>
        <d v="2025-04-03T00:00:00"/>
        <d v="2025-03-01T00:00:00"/>
        <d v="2025-03-25T00:00:00"/>
        <d v="2025-03-19T00:00:00"/>
        <d v="2025-03-14T00:00:00"/>
      </sharedItems>
      <fieldGroup par="13"/>
    </cacheField>
    <cacheField name="CustomerName" numFmtId="0">
      <sharedItems count="12">
        <s v="John Smith"/>
        <s v="Mary Jane"/>
        <s v="Mary Johnson"/>
        <s v="Paul Akporarhe"/>
        <s v="Acme Corp"/>
        <s v="Jeffery Donovan"/>
        <s v="Steve O'Brien"/>
        <s v="Lisa O'Neil"/>
        <s v="Jane Doe"/>
        <s v="Bob"/>
        <s v="O'Connor Brian"/>
        <s v="Anne Marie"/>
      </sharedItems>
    </cacheField>
    <cacheField name="Product" numFmtId="0">
      <sharedItems count="7">
        <s v="Widget A"/>
        <s v="Widget E"/>
        <s v="Widget C"/>
        <s v="Widget G"/>
        <s v="Widget B"/>
        <s v="Widget D"/>
        <s v="Widget F"/>
      </sharedItems>
    </cacheField>
    <cacheField name="UnitPrice" numFmtId="164">
      <sharedItems containsSemiMixedTypes="0" containsString="0" containsNumber="1" minValue="20" maxValue="300"/>
    </cacheField>
    <cacheField name="Qty" numFmtId="0">
      <sharedItems containsSemiMixedTypes="0" containsString="0" containsNumber="1" containsInteger="1" minValue="1" maxValue="60"/>
    </cacheField>
    <cacheField name="Region" numFmtId="0">
      <sharedItems count="6">
        <s v="Manchester"/>
        <s v="Leeds"/>
        <s v="London"/>
        <s v="Abuja"/>
        <s v="Birmingham"/>
        <s v="california"/>
      </sharedItems>
    </cacheField>
    <cacheField name="SalesRep" numFmtId="0">
      <sharedItems count="6">
        <s v="B. O'Connor"/>
        <s v="D. Green"/>
        <s v="A. Smith"/>
        <s v="P. Akporarhe"/>
        <s v="C. Patel"/>
        <s v="Alice Undav"/>
      </sharedItems>
    </cacheField>
    <cacheField name="Status" numFmtId="0">
      <sharedItems/>
    </cacheField>
    <cacheField name="LeadSource" numFmtId="0">
      <sharedItems count="5">
        <s v="Phone"/>
        <s v="Web"/>
        <s v="Direct"/>
        <s v="Email"/>
        <s v="Referral"/>
      </sharedItems>
    </cacheField>
    <cacheField name="Notes" numFmtId="0">
      <sharedItems/>
    </cacheField>
    <cacheField name="TotalSales" numFmtId="164">
      <sharedItems containsSemiMixedTypes="0" containsString="0" containsNumber="1" minValue="25" maxValue="1500" count="19">
        <n v="1500"/>
        <n v="400"/>
        <n v="300"/>
        <n v="273"/>
        <n v="250"/>
        <n v="245"/>
        <n v="200"/>
        <n v="196"/>
        <n v="180"/>
        <n v="136.5"/>
        <n v="125"/>
        <n v="122.5"/>
        <n v="120"/>
        <n v="100"/>
        <n v="91"/>
        <n v="50"/>
        <n v="49"/>
        <n v="45.5"/>
        <n v="25"/>
      </sharedItems>
    </cacheField>
    <cacheField name="Days (Date)" numFmtId="0" databaseField="0">
      <fieldGroup base="1">
        <rangePr groupBy="days" startDate="2025-01-03T00:00:00" endDate="2025-11-04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4/2025"/>
        </groupItems>
      </fieldGroup>
    </cacheField>
    <cacheField name="Months (Date)" numFmtId="0" databaseField="0">
      <fieldGroup base="1">
        <rangePr groupBy="months" startDate="2025-01-03T00:00:00" endDate="2025-11-04T00:00:00"/>
        <groupItems count="14">
          <s v="&lt;1/3/2025"/>
          <s v="Jan"/>
          <s v="Feb"/>
          <s v="Mar"/>
          <s v="Apr"/>
          <s v="May"/>
          <s v="Jun"/>
          <s v="Jul"/>
          <s v="Aug"/>
          <s v="Sep"/>
          <s v="Oct"/>
          <s v="Nov"/>
          <s v="Dec"/>
          <s v="&gt;11/4/2025"/>
        </groupItems>
      </fieldGroup>
    </cacheField>
  </cacheFields>
  <extLst>
    <ext xmlns:x14="http://schemas.microsoft.com/office/spreadsheetml/2009/9/main" uri="{725AE2AE-9491-48be-B2B4-4EB974FC3084}">
      <x14:pivotCacheDefinition pivotCacheId="1483352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6"/>
    <x v="0"/>
    <x v="0"/>
    <x v="0"/>
    <n v="25"/>
    <n v="60"/>
    <x v="0"/>
    <x v="0"/>
    <s v="Pending"/>
    <x v="0"/>
    <s v="missing qty"/>
    <x v="0"/>
  </r>
  <r>
    <n v="1011"/>
    <x v="1"/>
    <x v="1"/>
    <x v="1"/>
    <n v="200"/>
    <n v="2"/>
    <x v="1"/>
    <x v="1"/>
    <s v="Pending"/>
    <x v="1"/>
    <s v="special price"/>
    <x v="1"/>
  </r>
  <r>
    <n v="1025"/>
    <x v="2"/>
    <x v="2"/>
    <x v="2"/>
    <n v="60"/>
    <n v="5"/>
    <x v="2"/>
    <x v="2"/>
    <s v="Pending"/>
    <x v="1"/>
    <s v="missing qty"/>
    <x v="2"/>
  </r>
  <r>
    <n v="1027"/>
    <x v="3"/>
    <x v="3"/>
    <x v="3"/>
    <n v="300"/>
    <n v="1"/>
    <x v="3"/>
    <x v="3"/>
    <s v="Completed"/>
    <x v="2"/>
    <s v="internal test"/>
    <x v="2"/>
  </r>
  <r>
    <n v="1002"/>
    <x v="4"/>
    <x v="0"/>
    <x v="4"/>
    <n v="45.5"/>
    <n v="6"/>
    <x v="0"/>
    <x v="0"/>
    <s v="Pending"/>
    <x v="3"/>
    <s v=""/>
    <x v="3"/>
  </r>
  <r>
    <n v="1013"/>
    <x v="5"/>
    <x v="4"/>
    <x v="5"/>
    <n v="125"/>
    <n v="2"/>
    <x v="4"/>
    <x v="4"/>
    <s v="Pending"/>
    <x v="3"/>
    <s v="international"/>
    <x v="4"/>
  </r>
  <r>
    <n v="1008"/>
    <x v="6"/>
    <x v="4"/>
    <x v="0"/>
    <n v="24.5"/>
    <n v="10"/>
    <x v="4"/>
    <x v="4"/>
    <s v="Completed"/>
    <x v="4"/>
    <s v=""/>
    <x v="5"/>
  </r>
  <r>
    <n v="1020"/>
    <x v="7"/>
    <x v="5"/>
    <x v="6"/>
    <n v="20"/>
    <n v="10"/>
    <x v="5"/>
    <x v="5"/>
    <s v="Pending"/>
    <x v="4"/>
    <s v="needs follow-up"/>
    <x v="6"/>
  </r>
  <r>
    <n v="1023"/>
    <x v="8"/>
    <x v="4"/>
    <x v="0"/>
    <n v="24.5"/>
    <n v="8"/>
    <x v="4"/>
    <x v="4"/>
    <s v="Completed"/>
    <x v="4"/>
    <s v=""/>
    <x v="7"/>
  </r>
  <r>
    <n v="1004"/>
    <x v="9"/>
    <x v="4"/>
    <x v="2"/>
    <n v="60"/>
    <n v="3"/>
    <x v="4"/>
    <x v="4"/>
    <s v="Completed"/>
    <x v="4"/>
    <s v=""/>
    <x v="8"/>
  </r>
  <r>
    <n v="1017"/>
    <x v="10"/>
    <x v="4"/>
    <x v="2"/>
    <n v="60"/>
    <n v="3"/>
    <x v="4"/>
    <x v="4"/>
    <s v="Completed"/>
    <x v="3"/>
    <s v=""/>
    <x v="8"/>
  </r>
  <r>
    <n v="1029"/>
    <x v="11"/>
    <x v="2"/>
    <x v="2"/>
    <n v="60"/>
    <n v="3"/>
    <x v="2"/>
    <x v="2"/>
    <s v="Completed"/>
    <x v="1"/>
    <s v=""/>
    <x v="8"/>
  </r>
  <r>
    <n v="1010"/>
    <x v="12"/>
    <x v="6"/>
    <x v="4"/>
    <n v="45.5"/>
    <n v="3"/>
    <x v="0"/>
    <x v="0"/>
    <s v="Completed"/>
    <x v="3"/>
    <s v=""/>
    <x v="9"/>
  </r>
  <r>
    <n v="1003"/>
    <x v="13"/>
    <x v="2"/>
    <x v="0"/>
    <n v="25"/>
    <n v="5"/>
    <x v="2"/>
    <x v="2"/>
    <s v="Completed"/>
    <x v="1"/>
    <s v="urgent"/>
    <x v="10"/>
  </r>
  <r>
    <n v="1007"/>
    <x v="14"/>
    <x v="7"/>
    <x v="5"/>
    <n v="125"/>
    <n v="1"/>
    <x v="1"/>
    <x v="1"/>
    <s v="Completed"/>
    <x v="1"/>
    <s v=""/>
    <x v="10"/>
  </r>
  <r>
    <n v="1016"/>
    <x v="15"/>
    <x v="7"/>
    <x v="5"/>
    <n v="125"/>
    <n v="1"/>
    <x v="1"/>
    <x v="1"/>
    <s v="Completed"/>
    <x v="1"/>
    <s v=""/>
    <x v="10"/>
  </r>
  <r>
    <n v="1026"/>
    <x v="16"/>
    <x v="4"/>
    <x v="0"/>
    <n v="24.5"/>
    <n v="5"/>
    <x v="4"/>
    <x v="4"/>
    <s v="Completed"/>
    <x v="4"/>
    <s v=""/>
    <x v="11"/>
  </r>
  <r>
    <n v="1009"/>
    <x v="17"/>
    <x v="2"/>
    <x v="2"/>
    <n v="60"/>
    <n v="2"/>
    <x v="2"/>
    <x v="2"/>
    <s v="Completed"/>
    <x v="1"/>
    <s v=""/>
    <x v="12"/>
  </r>
  <r>
    <n v="1022"/>
    <x v="18"/>
    <x v="2"/>
    <x v="2"/>
    <n v="60"/>
    <n v="2"/>
    <x v="2"/>
    <x v="2"/>
    <s v="Pending"/>
    <x v="0"/>
    <s v="qty as text"/>
    <x v="12"/>
  </r>
  <r>
    <n v="1015"/>
    <x v="15"/>
    <x v="8"/>
    <x v="0"/>
    <n v="25"/>
    <n v="4"/>
    <x v="2"/>
    <x v="2"/>
    <s v="Completed"/>
    <x v="4"/>
    <s v=""/>
    <x v="13"/>
  </r>
  <r>
    <n v="1014"/>
    <x v="19"/>
    <x v="9"/>
    <x v="4"/>
    <n v="45.5"/>
    <n v="2"/>
    <x v="0"/>
    <x v="0"/>
    <s v="Completed"/>
    <x v="0"/>
    <s v=""/>
    <x v="14"/>
  </r>
  <r>
    <n v="1018"/>
    <x v="20"/>
    <x v="2"/>
    <x v="4"/>
    <n v="45.5"/>
    <n v="2"/>
    <x v="2"/>
    <x v="2"/>
    <s v="Completed"/>
    <x v="1"/>
    <s v=""/>
    <x v="14"/>
  </r>
  <r>
    <n v="1021"/>
    <x v="21"/>
    <x v="10"/>
    <x v="4"/>
    <n v="45.5"/>
    <n v="2"/>
    <x v="0"/>
    <x v="0"/>
    <s v="Completed"/>
    <x v="3"/>
    <s v=""/>
    <x v="14"/>
  </r>
  <r>
    <n v="1028"/>
    <x v="22"/>
    <x v="8"/>
    <x v="4"/>
    <n v="45.5"/>
    <n v="2"/>
    <x v="2"/>
    <x v="2"/>
    <s v="Completed"/>
    <x v="3"/>
    <s v=""/>
    <x v="14"/>
  </r>
  <r>
    <n v="1005"/>
    <x v="23"/>
    <x v="8"/>
    <x v="4"/>
    <n v="45.5"/>
    <n v="2"/>
    <x v="2"/>
    <x v="2"/>
    <s v="Completed"/>
    <x v="3"/>
    <s v=""/>
    <x v="14"/>
  </r>
  <r>
    <n v="1001"/>
    <x v="24"/>
    <x v="8"/>
    <x v="0"/>
    <n v="25"/>
    <n v="2"/>
    <x v="2"/>
    <x v="2"/>
    <s v="Completed"/>
    <x v="4"/>
    <s v="Paid via bank"/>
    <x v="15"/>
  </r>
  <r>
    <n v="1030"/>
    <x v="25"/>
    <x v="4"/>
    <x v="0"/>
    <n v="24.5"/>
    <n v="2"/>
    <x v="4"/>
    <x v="4"/>
    <s v="Completed"/>
    <x v="4"/>
    <s v=""/>
    <x v="16"/>
  </r>
  <r>
    <n v="1024"/>
    <x v="26"/>
    <x v="8"/>
    <x v="4"/>
    <n v="45.5"/>
    <n v="1"/>
    <x v="2"/>
    <x v="2"/>
    <s v="Completed"/>
    <x v="3"/>
    <s v=""/>
    <x v="17"/>
  </r>
  <r>
    <n v="1012"/>
    <x v="5"/>
    <x v="11"/>
    <x v="0"/>
    <n v="25"/>
    <n v="1"/>
    <x v="2"/>
    <x v="2"/>
    <s v="Completed"/>
    <x v="4"/>
    <s v=""/>
    <x v="18"/>
  </r>
  <r>
    <n v="1019"/>
    <x v="27"/>
    <x v="8"/>
    <x v="0"/>
    <n v="25"/>
    <n v="1"/>
    <x v="2"/>
    <x v="2"/>
    <s v="Completed"/>
    <x v="4"/>
    <s v=""/>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69BAE-055A-4AEE-BE2F-F7E54F6A8839}"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CustomerName">
  <location ref="F50:I54"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sortType="descending">
      <items count="13">
        <item x="4"/>
        <item x="11"/>
        <item x="9"/>
        <item x="8"/>
        <item x="5"/>
        <item x="0"/>
        <item x="7"/>
        <item x="1"/>
        <item x="2"/>
        <item x="10"/>
        <item x="3"/>
        <item x="6"/>
        <item t="default"/>
      </items>
      <autoSortScope>
        <pivotArea dataOnly="0" outline="0" fieldPosition="0">
          <references count="1">
            <reference field="4294967294" count="1" selected="0">
              <x v="0"/>
            </reference>
          </references>
        </pivotArea>
      </autoSortScope>
    </pivotField>
    <pivotField showAll="0">
      <items count="8">
        <item x="0"/>
        <item x="4"/>
        <item x="2"/>
        <item x="5"/>
        <item x="1"/>
        <item x="6"/>
        <item x="3"/>
        <item t="default"/>
      </items>
    </pivotField>
    <pivotField numFmtId="164" showAll="0"/>
    <pivotField showAll="0"/>
    <pivotField showAll="0">
      <items count="7">
        <item x="3"/>
        <item x="4"/>
        <item x="5"/>
        <item x="1"/>
        <item x="2"/>
        <item x="0"/>
        <item t="default"/>
      </items>
    </pivotField>
    <pivotField showAll="0">
      <items count="7">
        <item x="2"/>
        <item h="1" x="5"/>
        <item h="1" x="0"/>
        <item h="1" x="4"/>
        <item h="1" x="1"/>
        <item h="1" x="3"/>
        <item t="default"/>
      </items>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8"/>
    </i>
    <i>
      <x v="3"/>
    </i>
    <i>
      <x v="1"/>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3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15">
      <pivotArea type="data" outline="0" fieldPosition="0">
        <references count="2">
          <reference field="4294967294" count="1" selected="0">
            <x v="0"/>
          </reference>
          <reference field="2" count="1" selected="0">
            <x v="5"/>
          </reference>
        </references>
      </pivotArea>
    </chartFormat>
    <chartFormat chart="0" format="16">
      <pivotArea type="data" outline="0" fieldPosition="0">
        <references count="2">
          <reference field="4294967294" count="1" selected="0">
            <x v="0"/>
          </reference>
          <reference field="2" count="1" selected="0">
            <x v="0"/>
          </reference>
        </references>
      </pivotArea>
    </chartFormat>
    <chartFormat chart="0" format="17">
      <pivotArea type="data" outline="0" fieldPosition="0">
        <references count="2">
          <reference field="4294967294" count="1" selected="0">
            <x v="0"/>
          </reference>
          <reference field="2" count="1" selected="0">
            <x v="8"/>
          </reference>
        </references>
      </pivotArea>
    </chartFormat>
    <chartFormat chart="0" format="18">
      <pivotArea type="data" outline="0" fieldPosition="0">
        <references count="2">
          <reference field="4294967294" count="1" selected="0">
            <x v="0"/>
          </reference>
          <reference field="2" count="1" selected="0">
            <x v="3"/>
          </reference>
        </references>
      </pivotArea>
    </chartFormat>
    <chartFormat chart="0" format="19">
      <pivotArea type="data" outline="0" fieldPosition="0">
        <references count="2">
          <reference field="4294967294" count="1" selected="0">
            <x v="1"/>
          </reference>
          <reference field="2" count="1" selected="0">
            <x v="5"/>
          </reference>
        </references>
      </pivotArea>
    </chartFormat>
    <chartFormat chart="0" format="20">
      <pivotArea type="data" outline="0" fieldPosition="0">
        <references count="2">
          <reference field="4294967294" count="1" selected="0">
            <x v="1"/>
          </reference>
          <reference field="2" count="1" selected="0">
            <x v="0"/>
          </reference>
        </references>
      </pivotArea>
    </chartFormat>
    <chartFormat chart="0" format="21">
      <pivotArea type="data" outline="0" fieldPosition="0">
        <references count="2">
          <reference field="4294967294" count="1" selected="0">
            <x v="1"/>
          </reference>
          <reference field="2" count="1" selected="0">
            <x v="8"/>
          </reference>
        </references>
      </pivotArea>
    </chartFormat>
    <chartFormat chart="0" format="22">
      <pivotArea type="data" outline="0" fieldPosition="0">
        <references count="2">
          <reference field="4294967294" count="1" selected="0">
            <x v="1"/>
          </reference>
          <reference field="2" count="1" selected="0">
            <x v="3"/>
          </reference>
        </references>
      </pivotArea>
    </chartFormat>
    <chartFormat chart="0" format="23">
      <pivotArea type="data" outline="0" fieldPosition="0">
        <references count="2">
          <reference field="4294967294" count="1" selected="0">
            <x v="2"/>
          </reference>
          <reference field="2" count="1" selected="0">
            <x v="5"/>
          </reference>
        </references>
      </pivotArea>
    </chartFormat>
    <chartFormat chart="0" format="24">
      <pivotArea type="data" outline="0" fieldPosition="0">
        <references count="2">
          <reference field="4294967294" count="1" selected="0">
            <x v="2"/>
          </reference>
          <reference field="2" count="1" selected="0">
            <x v="0"/>
          </reference>
        </references>
      </pivotArea>
    </chartFormat>
    <chartFormat chart="0" format="25">
      <pivotArea type="data" outline="0" fieldPosition="0">
        <references count="2">
          <reference field="4294967294" count="1" selected="0">
            <x v="2"/>
          </reference>
          <reference field="2" count="1" selected="0">
            <x v="8"/>
          </reference>
        </references>
      </pivotArea>
    </chartFormat>
    <chartFormat chart="0" format="26">
      <pivotArea type="data" outline="0" fieldPosition="0">
        <references count="2">
          <reference field="4294967294" count="1" selected="0">
            <x v="2"/>
          </reference>
          <reference field="2" count="1" selected="0">
            <x v="3"/>
          </reference>
        </references>
      </pivotArea>
    </chartFormat>
    <chartFormat chart="0" format="27">
      <pivotArea type="data" outline="0" fieldPosition="0">
        <references count="2">
          <reference field="4294967294" count="1" selected="0">
            <x v="0"/>
          </reference>
          <reference field="2" count="1" selected="0">
            <x v="11"/>
          </reference>
        </references>
      </pivotArea>
    </chartFormat>
    <chartFormat chart="0" format="28">
      <pivotArea type="data" outline="0" fieldPosition="0">
        <references count="2">
          <reference field="4294967294" count="1" selected="0">
            <x v="0"/>
          </reference>
          <reference field="2" count="1" selected="0">
            <x v="2"/>
          </reference>
        </references>
      </pivotArea>
    </chartFormat>
    <chartFormat chart="0" format="29">
      <pivotArea type="data" outline="0" fieldPosition="0">
        <references count="2">
          <reference field="4294967294" count="1" selected="0">
            <x v="0"/>
          </reference>
          <reference field="2" count="1" selected="0">
            <x v="9"/>
          </reference>
        </references>
      </pivotArea>
    </chartFormat>
    <chartFormat chart="0" format="30">
      <pivotArea type="data" outline="0" fieldPosition="0">
        <references count="2">
          <reference field="4294967294" count="1" selected="0">
            <x v="1"/>
          </reference>
          <reference field="2" count="1" selected="0">
            <x v="11"/>
          </reference>
        </references>
      </pivotArea>
    </chartFormat>
    <chartFormat chart="0" format="31">
      <pivotArea type="data" outline="0" fieldPosition="0">
        <references count="2">
          <reference field="4294967294" count="1" selected="0">
            <x v="1"/>
          </reference>
          <reference field="2" count="1" selected="0">
            <x v="2"/>
          </reference>
        </references>
      </pivotArea>
    </chartFormat>
    <chartFormat chart="0" format="32">
      <pivotArea type="data" outline="0" fieldPosition="0">
        <references count="2">
          <reference field="4294967294" count="1" selected="0">
            <x v="1"/>
          </reference>
          <reference field="2" count="1" selected="0">
            <x v="9"/>
          </reference>
        </references>
      </pivotArea>
    </chartFormat>
    <chartFormat chart="0" format="33">
      <pivotArea type="data" outline="0" fieldPosition="0">
        <references count="2">
          <reference field="4294967294" count="1" selected="0">
            <x v="2"/>
          </reference>
          <reference field="2" count="1" selected="0">
            <x v="11"/>
          </reference>
        </references>
      </pivotArea>
    </chartFormat>
    <chartFormat chart="0" format="34">
      <pivotArea type="data" outline="0" fieldPosition="0">
        <references count="2">
          <reference field="4294967294" count="1" selected="0">
            <x v="2"/>
          </reference>
          <reference field="2" count="1" selected="0">
            <x v="2"/>
          </reference>
        </references>
      </pivotArea>
    </chartFormat>
    <chartFormat chart="0" format="35">
      <pivotArea type="data" outline="0" fieldPosition="0">
        <references count="2">
          <reference field="4294967294" count="1" selected="0">
            <x v="2"/>
          </reference>
          <reference field="2" count="1" selected="0">
            <x v="9"/>
          </reference>
        </references>
      </pivotArea>
    </chartFormat>
    <chartFormat chart="0" format="36">
      <pivotArea type="data" outline="0" fieldPosition="0">
        <references count="2">
          <reference field="4294967294" count="1" selected="0">
            <x v="0"/>
          </reference>
          <reference field="2" count="1" selected="0">
            <x v="7"/>
          </reference>
        </references>
      </pivotArea>
    </chartFormat>
    <chartFormat chart="0" format="37">
      <pivotArea type="data" outline="0" fieldPosition="0">
        <references count="2">
          <reference field="4294967294" count="1" selected="0">
            <x v="0"/>
          </reference>
          <reference field="2" count="1" selected="0">
            <x v="10"/>
          </reference>
        </references>
      </pivotArea>
    </chartFormat>
    <chartFormat chart="0" format="38">
      <pivotArea type="data" outline="0" fieldPosition="0">
        <references count="2">
          <reference field="4294967294" count="1" selected="0">
            <x v="0"/>
          </reference>
          <reference field="2" count="1" selected="0">
            <x v="4"/>
          </reference>
        </references>
      </pivotArea>
    </chartFormat>
    <chartFormat chart="0" format="39">
      <pivotArea type="data" outline="0" fieldPosition="0">
        <references count="2">
          <reference field="4294967294" count="1" selected="0">
            <x v="0"/>
          </reference>
          <reference field="2" count="1" selected="0">
            <x v="6"/>
          </reference>
        </references>
      </pivotArea>
    </chartFormat>
    <chartFormat chart="0" format="40">
      <pivotArea type="data" outline="0" fieldPosition="0">
        <references count="2">
          <reference field="4294967294" count="1" selected="0">
            <x v="0"/>
          </reference>
          <reference field="2" count="1" selected="0">
            <x v="1"/>
          </reference>
        </references>
      </pivotArea>
    </chartFormat>
    <chartFormat chart="0" format="41">
      <pivotArea type="data" outline="0" fieldPosition="0">
        <references count="2">
          <reference field="4294967294" count="1" selected="0">
            <x v="1"/>
          </reference>
          <reference field="2" count="1" selected="0">
            <x v="7"/>
          </reference>
        </references>
      </pivotArea>
    </chartFormat>
    <chartFormat chart="0" format="42">
      <pivotArea type="data" outline="0" fieldPosition="0">
        <references count="2">
          <reference field="4294967294" count="1" selected="0">
            <x v="1"/>
          </reference>
          <reference field="2" count="1" selected="0">
            <x v="10"/>
          </reference>
        </references>
      </pivotArea>
    </chartFormat>
    <chartFormat chart="0" format="43">
      <pivotArea type="data" outline="0" fieldPosition="0">
        <references count="2">
          <reference field="4294967294" count="1" selected="0">
            <x v="1"/>
          </reference>
          <reference field="2" count="1" selected="0">
            <x v="4"/>
          </reference>
        </references>
      </pivotArea>
    </chartFormat>
    <chartFormat chart="0" format="44">
      <pivotArea type="data" outline="0" fieldPosition="0">
        <references count="2">
          <reference field="4294967294" count="1" selected="0">
            <x v="1"/>
          </reference>
          <reference field="2" count="1" selected="0">
            <x v="6"/>
          </reference>
        </references>
      </pivotArea>
    </chartFormat>
    <chartFormat chart="0" format="45">
      <pivotArea type="data" outline="0" fieldPosition="0">
        <references count="2">
          <reference field="4294967294" count="1" selected="0">
            <x v="1"/>
          </reference>
          <reference field="2" count="1" selected="0">
            <x v="1"/>
          </reference>
        </references>
      </pivotArea>
    </chartFormat>
    <chartFormat chart="0" format="46">
      <pivotArea type="data" outline="0" fieldPosition="0">
        <references count="2">
          <reference field="4294967294" count="1" selected="0">
            <x v="2"/>
          </reference>
          <reference field="2" count="1" selected="0">
            <x v="7"/>
          </reference>
        </references>
      </pivotArea>
    </chartFormat>
    <chartFormat chart="0" format="47">
      <pivotArea type="data" outline="0" fieldPosition="0">
        <references count="2">
          <reference field="4294967294" count="1" selected="0">
            <x v="2"/>
          </reference>
          <reference field="2" count="1" selected="0">
            <x v="10"/>
          </reference>
        </references>
      </pivotArea>
    </chartFormat>
    <chartFormat chart="0" format="48">
      <pivotArea type="data" outline="0" fieldPosition="0">
        <references count="2">
          <reference field="4294967294" count="1" selected="0">
            <x v="2"/>
          </reference>
          <reference field="2" count="1" selected="0">
            <x v="4"/>
          </reference>
        </references>
      </pivotArea>
    </chartFormat>
    <chartFormat chart="0" format="49">
      <pivotArea type="data" outline="0" fieldPosition="0">
        <references count="2">
          <reference field="4294967294" count="1" selected="0">
            <x v="2"/>
          </reference>
          <reference field="2" count="1" selected="0">
            <x v="6"/>
          </reference>
        </references>
      </pivotArea>
    </chartFormat>
    <chartFormat chart="0" format="50">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FD7E36-19B4-4755-9062-5F7B591E533A}"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ate">
  <location ref="B44:D75" firstHeaderRow="0" firstDataRow="1" firstDataCol="1"/>
  <pivotFields count="14">
    <pivotField showAll="0"/>
    <pivotField axis="axisRow"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x="3"/>
        <item x="4"/>
        <item x="5"/>
        <item x="1"/>
        <item x="2"/>
        <item x="0"/>
        <item t="default"/>
      </items>
    </pivotField>
    <pivotField showAll="0">
      <items count="7">
        <item x="2"/>
        <item h="1" x="5"/>
        <item h="1" x="0"/>
        <item h="1" x="4"/>
        <item h="1" x="1"/>
        <item h="1" x="3"/>
        <item t="default"/>
      </items>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3"/>
    <field x="12"/>
    <field x="1"/>
  </rowFields>
  <rowItems count="31">
    <i>
      <x v="2"/>
    </i>
    <i r="1">
      <x v="34"/>
    </i>
    <i r="2">
      <x v="1"/>
    </i>
    <i>
      <x v="3"/>
    </i>
    <i r="1">
      <x v="61"/>
    </i>
    <i r="2">
      <x v="2"/>
    </i>
    <i r="1">
      <x v="67"/>
    </i>
    <i r="2">
      <x v="7"/>
    </i>
    <i r="1">
      <x v="69"/>
    </i>
    <i r="2">
      <x v="9"/>
    </i>
    <i r="1">
      <x v="73"/>
    </i>
    <i r="2">
      <x v="12"/>
    </i>
    <i r="1">
      <x v="74"/>
    </i>
    <i r="2">
      <x v="13"/>
    </i>
    <i r="1">
      <x v="77"/>
    </i>
    <i r="2">
      <x v="16"/>
    </i>
    <i r="1">
      <x v="79"/>
    </i>
    <i r="2">
      <x v="18"/>
    </i>
    <i r="1">
      <x v="80"/>
    </i>
    <i r="2">
      <x v="19"/>
    </i>
    <i r="1">
      <x v="83"/>
    </i>
    <i r="2">
      <x v="22"/>
    </i>
    <i r="1">
      <x v="84"/>
    </i>
    <i r="2">
      <x v="23"/>
    </i>
    <i>
      <x v="4"/>
    </i>
    <i r="1">
      <x v="94"/>
    </i>
    <i r="2">
      <x v="25"/>
    </i>
    <i>
      <x v="11"/>
    </i>
    <i r="1">
      <x v="308"/>
    </i>
    <i r="2">
      <x v="27"/>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F6336-4B96-43A7-BE41-7D1A41B708D3}"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Product">
  <location ref="M2:P6"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axis="axisRow" showAll="0" sortType="descending">
      <items count="8">
        <item x="0"/>
        <item x="4"/>
        <item x="2"/>
        <item x="5"/>
        <item x="1"/>
        <item x="6"/>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7">
        <item x="3"/>
        <item x="4"/>
        <item x="5"/>
        <item x="1"/>
        <item x="2"/>
        <item x="0"/>
        <item t="default"/>
      </items>
    </pivotField>
    <pivotField showAll="0">
      <items count="7">
        <item x="2"/>
        <item h="1" x="5"/>
        <item h="1" x="0"/>
        <item h="1" x="4"/>
        <item h="1" x="1"/>
        <item h="1" x="3"/>
        <item t="default"/>
      </items>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2"/>
    </i>
    <i>
      <x/>
    </i>
    <i>
      <x v="1"/>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37425F-68D4-4576-858B-6BA242106909}"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CustomerName">
  <location ref="I113:L117"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items count="13">
        <item x="4"/>
        <item x="11"/>
        <item x="9"/>
        <item x="8"/>
        <item x="5"/>
        <item x="0"/>
        <item x="7"/>
        <item x="1"/>
        <item x="2"/>
        <item x="10"/>
        <item x="3"/>
        <item x="6"/>
        <item t="default"/>
      </items>
    </pivotField>
    <pivotField showAll="0"/>
    <pivotField dataField="1" numFmtId="164" showAll="0"/>
    <pivotField showAll="0"/>
    <pivotField showAll="0"/>
    <pivotField showAll="0">
      <items count="7">
        <item x="2"/>
        <item h="1" x="5"/>
        <item h="1" x="0"/>
        <item h="1" x="4"/>
        <item h="1" x="1"/>
        <item h="1" x="3"/>
        <item t="default"/>
      </items>
    </pivotField>
    <pivotField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1"/>
    </i>
    <i>
      <x v="3"/>
    </i>
    <i>
      <x v="8"/>
    </i>
    <i t="grand">
      <x/>
    </i>
  </rowItems>
  <colFields count="1">
    <field x="-2"/>
  </colFields>
  <colItems count="3">
    <i>
      <x/>
    </i>
    <i i="1">
      <x v="1"/>
    </i>
    <i i="2">
      <x v="2"/>
    </i>
  </colItems>
  <dataFields count="3">
    <dataField name="Sum of UnitPrice" fld="4" baseField="0" baseItem="0" numFmtId="164"/>
    <dataField name="Percentage of UnitPrice" fld="4" showDataAs="percentOfTotal" baseField="0" baseItem="0" numFmtId="10"/>
    <dataField name="Count of UnitPrice"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20C66-A002-4D43-BEAB-DA0F4AD1339E}"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alesRep">
  <location ref="AC37:AF39"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x="3"/>
        <item x="4"/>
        <item x="5"/>
        <item x="1"/>
        <item x="2"/>
        <item x="0"/>
        <item t="default"/>
      </items>
    </pivotField>
    <pivotField axis="axisRow" showAll="0" sortType="descending">
      <items count="7">
        <item x="2"/>
        <item h="1" x="5"/>
        <item h="1" x="0"/>
        <item h="1" x="4"/>
        <item h="1" x="1"/>
        <item h="1" x="3"/>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0" format="8">
      <pivotArea type="data" outline="0" fieldPosition="0">
        <references count="2">
          <reference field="4294967294" count="1" selected="0">
            <x v="2"/>
          </reference>
          <reference field="7" count="1" selected="0">
            <x v="2"/>
          </reference>
        </references>
      </pivotArea>
    </chartFormat>
    <chartFormat chart="0" format="9">
      <pivotArea type="data" outline="0" fieldPosition="0">
        <references count="2">
          <reference field="4294967294" count="1" selected="0">
            <x v="0"/>
          </reference>
          <reference field="7" count="1" selected="0">
            <x v="3"/>
          </reference>
        </references>
      </pivotArea>
    </chartFormat>
    <chartFormat chart="0" format="10">
      <pivotArea type="data" outline="0" fieldPosition="0">
        <references count="2">
          <reference field="4294967294" count="1" selected="0">
            <x v="0"/>
          </reference>
          <reference field="7" count="1" selected="0">
            <x v="0"/>
          </reference>
        </references>
      </pivotArea>
    </chartFormat>
    <chartFormat chart="0" format="11">
      <pivotArea type="data" outline="0" fieldPosition="0">
        <references count="2">
          <reference field="4294967294" count="1" selected="0">
            <x v="0"/>
          </reference>
          <reference field="7" count="1" selected="0">
            <x v="4"/>
          </reference>
        </references>
      </pivotArea>
    </chartFormat>
    <chartFormat chart="0" format="12">
      <pivotArea type="data" outline="0" fieldPosition="0">
        <references count="2">
          <reference field="4294967294" count="1" selected="0">
            <x v="0"/>
          </reference>
          <reference field="7" count="1" selected="0">
            <x v="5"/>
          </reference>
        </references>
      </pivotArea>
    </chartFormat>
    <chartFormat chart="0" format="13">
      <pivotArea type="data" outline="0" fieldPosition="0">
        <references count="2">
          <reference field="4294967294" count="1" selected="0">
            <x v="0"/>
          </reference>
          <reference field="7" count="1" selected="0">
            <x v="1"/>
          </reference>
        </references>
      </pivotArea>
    </chartFormat>
    <chartFormat chart="0" format="14">
      <pivotArea type="data" outline="0" fieldPosition="0">
        <references count="2">
          <reference field="4294967294" count="1" selected="0">
            <x v="1"/>
          </reference>
          <reference field="7" count="1" selected="0">
            <x v="3"/>
          </reference>
        </references>
      </pivotArea>
    </chartFormat>
    <chartFormat chart="0" format="15">
      <pivotArea type="data" outline="0" fieldPosition="0">
        <references count="2">
          <reference field="4294967294" count="1" selected="0">
            <x v="1"/>
          </reference>
          <reference field="7" count="1" selected="0">
            <x v="0"/>
          </reference>
        </references>
      </pivotArea>
    </chartFormat>
    <chartFormat chart="0" format="16">
      <pivotArea type="data" outline="0" fieldPosition="0">
        <references count="2">
          <reference field="4294967294" count="1" selected="0">
            <x v="1"/>
          </reference>
          <reference field="7" count="1" selected="0">
            <x v="4"/>
          </reference>
        </references>
      </pivotArea>
    </chartFormat>
    <chartFormat chart="0" format="17">
      <pivotArea type="data" outline="0" fieldPosition="0">
        <references count="2">
          <reference field="4294967294" count="1" selected="0">
            <x v="1"/>
          </reference>
          <reference field="7" count="1" selected="0">
            <x v="5"/>
          </reference>
        </references>
      </pivotArea>
    </chartFormat>
    <chartFormat chart="0" format="18">
      <pivotArea type="data" outline="0" fieldPosition="0">
        <references count="2">
          <reference field="4294967294" count="1" selected="0">
            <x v="1"/>
          </reference>
          <reference field="7" count="1" selected="0">
            <x v="1"/>
          </reference>
        </references>
      </pivotArea>
    </chartFormat>
    <chartFormat chart="0" format="19">
      <pivotArea type="data" outline="0" fieldPosition="0">
        <references count="2">
          <reference field="4294967294" count="1" selected="0">
            <x v="2"/>
          </reference>
          <reference field="7" count="1" selected="0">
            <x v="3"/>
          </reference>
        </references>
      </pivotArea>
    </chartFormat>
    <chartFormat chart="0" format="20">
      <pivotArea type="data" outline="0" fieldPosition="0">
        <references count="2">
          <reference field="4294967294" count="1" selected="0">
            <x v="2"/>
          </reference>
          <reference field="7" count="1" selected="0">
            <x v="0"/>
          </reference>
        </references>
      </pivotArea>
    </chartFormat>
    <chartFormat chart="0" format="21">
      <pivotArea type="data" outline="0" fieldPosition="0">
        <references count="2">
          <reference field="4294967294" count="1" selected="0">
            <x v="2"/>
          </reference>
          <reference field="7" count="1" selected="0">
            <x v="4"/>
          </reference>
        </references>
      </pivotArea>
    </chartFormat>
    <chartFormat chart="0" format="22">
      <pivotArea type="data" outline="0" fieldPosition="0">
        <references count="2">
          <reference field="4294967294" count="1" selected="0">
            <x v="2"/>
          </reference>
          <reference field="7" count="1" selected="0">
            <x v="5"/>
          </reference>
        </references>
      </pivotArea>
    </chartFormat>
    <chartFormat chart="0" format="23">
      <pivotArea type="data" outline="0" fieldPosition="0">
        <references count="2">
          <reference field="4294967294"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AB6AAC-7ABB-4C77-AECC-C136EF86E64D}"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3:D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axis="axisRow" showAll="0" sortType="descending">
      <items count="7">
        <item x="3"/>
        <item x="4"/>
        <item x="5"/>
        <item x="1"/>
        <item x="2"/>
        <item x="0"/>
        <item t="default"/>
      </items>
      <autoSortScope>
        <pivotArea dataOnly="0" outline="0" fieldPosition="0">
          <references count="1">
            <reference field="4294967294" count="1" selected="0">
              <x v="2"/>
            </reference>
          </references>
        </pivotArea>
      </autoSortScope>
    </pivotField>
    <pivotField showAll="0">
      <items count="7">
        <item x="2"/>
        <item h="1" x="5"/>
        <item h="1" x="0"/>
        <item h="1" x="4"/>
        <item h="1" x="1"/>
        <item h="1" x="3"/>
        <item t="default"/>
      </items>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4"/>
    </i>
    <i t="grand">
      <x/>
    </i>
  </rowItems>
  <colFields count="1">
    <field x="-2"/>
  </colFields>
  <colItems count="3">
    <i>
      <x/>
    </i>
    <i i="1">
      <x v="1"/>
    </i>
    <i i="2">
      <x v="2"/>
    </i>
  </colItems>
  <dataFields count="3">
    <dataField name="Sum of TotalSales in Region" fld="11" baseField="0" baseItem="0" numFmtId="164"/>
    <dataField name="Count of TotalSales in Region" fld="11" subtotal="count" baseField="0" baseItem="0"/>
    <dataField name="Percentage of TotalSales in Region" fld="11"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09E01-3879-47E6-A896-58995F818128}" name="PivotTable3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ate">
  <location ref="L49:O67"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showAll="0"/>
    <pivotField numFmtId="164" showAll="0"/>
    <pivotField dataField="1" showAll="0"/>
    <pivotField showAll="0"/>
    <pivotField showAll="0">
      <items count="7">
        <item x="2"/>
        <item h="1" x="5"/>
        <item h="1" x="0"/>
        <item h="1" x="4"/>
        <item h="1" x="1"/>
        <item h="1" x="3"/>
        <item t="default"/>
      </items>
    </pivotField>
    <pivotField showAll="0"/>
    <pivotField showAll="0"/>
    <pivotField showAll="0"/>
    <pivotField numFmtId="164"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3"/>
    <field x="12"/>
  </rowFields>
  <rowItems count="18">
    <i>
      <x v="2"/>
    </i>
    <i r="1">
      <x v="34"/>
    </i>
    <i>
      <x v="3"/>
    </i>
    <i r="1">
      <x v="61"/>
    </i>
    <i r="1">
      <x v="67"/>
    </i>
    <i r="1">
      <x v="69"/>
    </i>
    <i r="1">
      <x v="73"/>
    </i>
    <i r="1">
      <x v="74"/>
    </i>
    <i r="1">
      <x v="77"/>
    </i>
    <i r="1">
      <x v="79"/>
    </i>
    <i r="1">
      <x v="80"/>
    </i>
    <i r="1">
      <x v="83"/>
    </i>
    <i r="1">
      <x v="84"/>
    </i>
    <i>
      <x v="4"/>
    </i>
    <i r="1">
      <x v="94"/>
    </i>
    <i>
      <x v="11"/>
    </i>
    <i r="1">
      <x v="308"/>
    </i>
    <i t="grand">
      <x/>
    </i>
  </rowItems>
  <colFields count="1">
    <field x="-2"/>
  </colFields>
  <colItems count="3">
    <i>
      <x/>
    </i>
    <i i="1">
      <x v="1"/>
    </i>
    <i i="2">
      <x v="2"/>
    </i>
  </colItems>
  <dataFields count="3">
    <dataField name="Count of Qty" fld="5" subtotal="count" baseField="0" baseItem="0"/>
    <dataField name="Sum of Qty" fld="5" baseField="0" baseItem="0"/>
    <dataField name="Percentageof Qty" fld="5" showDataAs="percentOfTotal" baseField="0" baseItem="0" numFmtId="10"/>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DF4120-9C8F-45C7-B7D9-3FBE10150D7C}" name="PivotTable3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LeadSource">
  <location ref="A25:C30"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x="3"/>
        <item x="4"/>
        <item x="5"/>
        <item x="1"/>
        <item x="2"/>
        <item x="0"/>
        <item t="default"/>
      </items>
    </pivotField>
    <pivotField showAll="0">
      <items count="7">
        <item x="2"/>
        <item h="1" x="5"/>
        <item h="1" x="0"/>
        <item h="1" x="4"/>
        <item h="1" x="1"/>
        <item h="1" x="3"/>
        <item t="default"/>
      </items>
    </pivotField>
    <pivotField showAll="0"/>
    <pivotField axis="axisRow" showAll="0" sortType="descending">
      <items count="6">
        <item x="2"/>
        <item x="3"/>
        <item x="0"/>
        <item x="4"/>
        <item x="1"/>
        <item t="default"/>
      </items>
      <autoSortScope>
        <pivotArea dataOnly="0" outline="0" fieldPosition="0">
          <references count="1">
            <reference field="4294967294" count="1" selected="0">
              <x v="1"/>
            </reference>
          </references>
        </pivotArea>
      </autoSortScope>
    </pivotField>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4"/>
    </i>
    <i>
      <x v="1"/>
    </i>
    <i>
      <x v="3"/>
    </i>
    <i>
      <x v="2"/>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7C53DC-3D70-455B-A499-997D67DDAE53}"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P91:T94" firstHeaderRow="1" firstDataRow="2"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axis="axisCol" showAll="0">
      <items count="8">
        <item x="0"/>
        <item x="4"/>
        <item x="2"/>
        <item x="5"/>
        <item x="1"/>
        <item x="6"/>
        <item x="3"/>
        <item t="default"/>
      </items>
    </pivotField>
    <pivotField numFmtId="164" showAll="0"/>
    <pivotField showAll="0"/>
    <pivotField axis="axisRow" showAll="0" sortType="descending">
      <items count="7">
        <item x="3"/>
        <item x="4"/>
        <item x="5"/>
        <item x="1"/>
        <item x="2"/>
        <item x="0"/>
        <item t="default"/>
      </items>
      <autoSortScope>
        <pivotArea dataOnly="0" outline="0" fieldPosition="0">
          <references count="1">
            <reference field="4294967294" count="1" selected="0">
              <x v="0"/>
            </reference>
          </references>
        </pivotArea>
      </autoSortScope>
    </pivotField>
    <pivotField showAll="0">
      <items count="7">
        <item x="2"/>
        <item h="1" x="5"/>
        <item h="1" x="0"/>
        <item h="1" x="4"/>
        <item h="1" x="1"/>
        <item h="1" x="3"/>
        <item t="default"/>
      </items>
    </pivotField>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
    <i>
      <x v="4"/>
    </i>
    <i t="grand">
      <x/>
    </i>
  </rowItems>
  <colFields count="1">
    <field x="3"/>
  </colFields>
  <colItems count="4">
    <i>
      <x/>
    </i>
    <i>
      <x v="1"/>
    </i>
    <i>
      <x v="2"/>
    </i>
    <i t="grand">
      <x/>
    </i>
  </colItems>
  <dataFields count="1">
    <dataField name="Sum of TotalSales" fld="11" baseField="0"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Sales" xr10:uid="{A56B1088-2846-473D-9000-1F05771AFC21}" sourceName="TotalSales">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9">
        <i x="18" s="1"/>
        <i x="17" s="1"/>
        <i x="15" s="1"/>
        <i x="14" s="1"/>
        <i x="13" s="1"/>
        <i x="12" s="1"/>
        <i x="10" s="1"/>
        <i x="8" s="1"/>
        <i x="2" s="1"/>
        <i x="16" s="1" nd="1"/>
        <i x="11" s="1" nd="1"/>
        <i x="9" s="1" nd="1"/>
        <i x="7" s="1" nd="1"/>
        <i x="6" s="1" nd="1"/>
        <i x="5" s="1" nd="1"/>
        <i x="4" s="1" nd="1"/>
        <i x="3" s="1" nd="1"/>
        <i x="1"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D57DA1-036F-4367-B88D-BE19289A6E30}" sourceName="Region">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6">
        <i x="2" s="1"/>
        <i x="3" s="1" nd="1"/>
        <i x="4" s="1" nd="1"/>
        <i x="5" s="1" nd="1"/>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ADBEDB-CD1E-4A20-8799-9046B8923621}" sourceName="Product">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7">
        <i x="0" s="1"/>
        <i x="4" s="1"/>
        <i x="2" s="1"/>
        <i x="5" s="1" nd="1"/>
        <i x="1" s="1" nd="1"/>
        <i x="6"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CE20566C-2BCB-4E68-8477-EAA9B82629A9}" sourceName="CustomerNam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2">
        <i x="11" s="1"/>
        <i x="8" s="1"/>
        <i x="2" s="1"/>
        <i x="4" s="1" nd="1"/>
        <i x="9" s="1" nd="1"/>
        <i x="5" s="1" nd="1"/>
        <i x="0" s="1" nd="1"/>
        <i x="7" s="1" nd="1"/>
        <i x="1" s="1" nd="1"/>
        <i x="10" s="1" nd="1"/>
        <i x="3"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63321DB-3F17-42B9-9DD1-604478310C08}" sourceName="Dat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28">
        <i x="13" s="1"/>
        <i x="24" s="1"/>
        <i x="17" s="1"/>
        <i x="5" s="1"/>
        <i x="20" s="1"/>
        <i x="27" s="1"/>
        <i x="18" s="1"/>
        <i x="26" s="1"/>
        <i x="2" s="1"/>
        <i x="22" s="1"/>
        <i x="11" s="1"/>
        <i x="23" s="1"/>
        <i x="15" s="1"/>
        <i x="4" s="1" nd="1"/>
        <i x="9" s="1" nd="1"/>
        <i x="0" s="1" nd="1"/>
        <i x="14" s="1" nd="1"/>
        <i x="6" s="1" nd="1"/>
        <i x="1" s="1" nd="1"/>
        <i x="19" s="1" nd="1"/>
        <i x="10" s="1" nd="1"/>
        <i x="7" s="1" nd="1"/>
        <i x="21" s="1" nd="1"/>
        <i x="8" s="1" nd="1"/>
        <i x="16" s="1" nd="1"/>
        <i x="3" s="1" nd="1"/>
        <i x="25" s="1" nd="1"/>
        <i x="12"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505429F3-9DDB-44C8-A985-4F53E9AEB583}" sourceName="SalesRep">
  <pivotTables>
    <pivotTable tabId="8" name="PivotTable29"/>
    <pivotTable tabId="8" name="PivotTable26"/>
    <pivotTable tabId="8" name="PivotTable27"/>
    <pivotTable tabId="8" name="PivotTable28"/>
    <pivotTable tabId="8" name="PivotTable30"/>
    <pivotTable tabId="8" name="PivotTable32"/>
    <pivotTable tabId="8" name="PivotTable33"/>
    <pivotTable tabId="8" name="PivotTable34"/>
    <pivotTable tabId="8" name="PivotTable35"/>
  </pivotTables>
  <data>
    <tabular pivotCacheId="1483352174">
      <items count="6">
        <i x="2" s="1"/>
        <i x="5"/>
        <i x="0"/>
        <i x="4"/>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78FFC6FB-4639-4590-93A7-21A0B41B92D8}" cache="Slicer_SalesRep" caption="Sales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Sales" xr10:uid="{50ADF2DD-624F-4260-B059-DB8C0F49FD10}" cache="Slicer_TotalSales" caption="TotalSales" style="SlicerStyleDark6" rowHeight="241300"/>
  <slicer name="Region" xr10:uid="{75F4F27F-6BDA-4D04-AFEC-4F14787F24FE}" cache="Slicer_Region" caption="Region" style="SlicerStyleLight2" rowHeight="241300"/>
  <slicer name="Product" xr10:uid="{7167A41C-849D-44E6-A26B-55FE378E2DB2}" cache="Slicer_Product" caption="Product" startItem="2" style="SlicerStyleDark2" rowHeight="241300"/>
  <slicer name="CustomerName" xr10:uid="{7B99AFA6-FC96-404E-B821-EE7C24659E63}" cache="Slicer_CustomerName" caption="CustomerName" rowHeight="241300"/>
  <slicer name="Date" xr10:uid="{1BA1B24C-3B00-4BCF-8DE5-3E378F768DE3}" cache="Slicer_Date" caption="Date" columnCount="2" style="SlicerStyleDark3" rowHeight="182880"/>
  <slicer name="SalesRep 1" xr10:uid="{E88FFEBB-C4FF-44A2-9906-A32126A574A4}" cache="Slicer_SalesRep" caption="Sales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EC958-CE68-4A1A-9B6A-E1A03BFF25FF}" name="SalesRaw3" displayName="SalesRaw3" ref="A1:K31" totalsRowShown="0">
  <autoFilter ref="A1:K31" xr:uid="{2FE6D92D-4597-4BD7-BEE3-2246F5DF5481}"/>
  <tableColumns count="11">
    <tableColumn id="1" xr3:uid="{6874893D-CC3D-4295-AA93-E678E140DA36}" name="OrderID"/>
    <tableColumn id="2" xr3:uid="{CF62A258-6762-48D2-9A7F-FA15715599CF}" name="Date" dataDxfId="7"/>
    <tableColumn id="3" xr3:uid="{CDF6A685-93E1-4815-B299-FE2FA4E77B0C}" name="CustomerName"/>
    <tableColumn id="4" xr3:uid="{4FA2812E-40CF-456A-B9F3-5055E094AFEA}" name="Product"/>
    <tableColumn id="5" xr3:uid="{09550148-6BBC-48EE-8496-1A1A39C21E87}" name="Qty"/>
    <tableColumn id="6" xr3:uid="{D05BFC9F-0126-4254-9E78-D633DB6DC63E}" name="UnitPrice"/>
    <tableColumn id="7" xr3:uid="{7C63A91F-7713-4FE2-B52B-F2B7DA5800D0}" name="Region"/>
    <tableColumn id="8" xr3:uid="{48D5B9B3-C764-4139-B51A-4B80084FA4CA}" name="SalesRep"/>
    <tableColumn id="9" xr3:uid="{941A434B-E5CA-4B2B-9075-FF190EDB77F2}" name="Status"/>
    <tableColumn id="10" xr3:uid="{826AD2C4-7920-4BE0-8A8C-429890FA2D29}" name="LeadSource"/>
    <tableColumn id="11" xr3:uid="{C998848C-7B2A-4773-945E-8B59F1A542A5}"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6D92D-4597-4BD7-BEE3-2246F5DF5481}" name="SalesRawClean" displayName="SalesRawClean" ref="A1:L31" totalsRowShown="0">
  <autoFilter ref="A1:L31" xr:uid="{2FE6D92D-4597-4BD7-BEE3-2246F5DF5481}"/>
  <tableColumns count="12">
    <tableColumn id="1" xr3:uid="{104C3705-DB91-41D7-AB4C-5AB6562A9952}" name="OrderID"/>
    <tableColumn id="2" xr3:uid="{4504AA21-96C3-4667-8384-E4B77002802E}" name="Date" dataDxfId="6"/>
    <tableColumn id="3" xr3:uid="{127273A5-E00A-4277-A18D-F8A09BFB6F69}" name="CustomerName"/>
    <tableColumn id="4" xr3:uid="{65449BF0-3F24-415A-8901-FF6D9469D1FB}" name="Product"/>
    <tableColumn id="6" xr3:uid="{5BCFDCC5-64B7-4B0E-91C7-8718BFC51C61}" name="UnitPrice" dataDxfId="5"/>
    <tableColumn id="5" xr3:uid="{FB9A4A42-E5D1-4CA4-A83B-0EDE077A5159}" name="Qty"/>
    <tableColumn id="7" xr3:uid="{F4164DEB-0AC9-4210-BBA8-AF0AC703BF2A}" name="Region"/>
    <tableColumn id="8" xr3:uid="{5A448605-4C12-449C-8B69-5A7E169949AA}" name="SalesRep"/>
    <tableColumn id="26" xr3:uid="{3EB24DDE-E7A3-49E4-9F9B-53BC9C87EEDB}" name="TotalSales" dataDxfId="0">
      <calculatedColumnFormula>SalesRawClean[[#This Row],[Qty]] * SalesRawClean[[#This Row],[UnitPrice]]</calculatedColumnFormula>
    </tableColumn>
    <tableColumn id="9" xr3:uid="{4EDCE330-93CC-46DD-98CB-E0B1CCB39198}" name="Status"/>
    <tableColumn id="10" xr3:uid="{5D143CF1-6B75-4F57-9156-57E50D309EEB}" name="LeadSource"/>
    <tableColumn id="11" xr3:uid="{DEA40B28-7834-477B-AB71-C31866D56A03}"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8A14D3-4B7B-4FF5-B513-E902E0EF9002}" name="Table467" displayName="Table467" ref="N1:O8" totalsRowShown="0" headerRowDxfId="4" dataDxfId="3">
  <autoFilter ref="N1:O8" xr:uid="{E78A14D3-4B7B-4FF5-B513-E902E0EF9002}"/>
  <tableColumns count="2">
    <tableColumn id="1" xr3:uid="{2EA3E989-6351-43D2-9622-A4339AB9F33A}" name="Product" dataDxfId="2"/>
    <tableColumn id="2" xr3:uid="{8B50CDE9-0B5A-4F31-896E-FA666E6F35EE}" name="Price" dataDxfId="1">
      <calculatedColumnFormula>VLOOKUP(N2,SalesRawClean[[Product]:[UnitPrice]],2,FALSE)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21DBE42-B31D-4F5C-9C2D-88F7A4283038}" sourceName="Date">
  <pivotTables>
    <pivotTable tabId="8" name="PivotTable32"/>
    <pivotTable tabId="8" name="PivotTable26"/>
    <pivotTable tabId="8" name="PivotTable27"/>
    <pivotTable tabId="8" name="PivotTable28"/>
    <pivotTable tabId="8" name="PivotTable29"/>
    <pivotTable tabId="8" name="PivotTable30"/>
    <pivotTable tabId="8" name="PivotTable33"/>
    <pivotTable tabId="8" name="PivotTable34"/>
    <pivotTable tabId="8" name="PivotTable35"/>
  </pivotTables>
  <state minimalRefreshVersion="6" lastRefreshVersion="6" pivotCacheId="148335217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76A0DE0-78C1-46C2-8E2D-58403E116A04}" cache="Nativ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4D58918-8ECC-463B-9F10-4FFBD53D7F6B}"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F286-0D3C-4C1A-8923-C07D652C6872}">
  <dimension ref="A1:K31"/>
  <sheetViews>
    <sheetView topLeftCell="A15" workbookViewId="0">
      <selection activeCell="N17" sqref="N17"/>
    </sheetView>
  </sheetViews>
  <sheetFormatPr defaultRowHeight="14.5"/>
  <cols>
    <col min="1" max="1" width="9.5" customWidth="1"/>
    <col min="3" max="3" width="15.83203125" customWidth="1"/>
    <col min="4" max="4" width="9.4140625" customWidth="1"/>
    <col min="6" max="6" width="10.4140625" customWidth="1"/>
    <col min="8" max="8" width="10.1640625" customWidth="1"/>
    <col min="10" max="10" width="12.33203125" customWidth="1"/>
  </cols>
  <sheetData>
    <row r="1" spans="1:11">
      <c r="A1" t="s">
        <v>0</v>
      </c>
      <c r="B1" t="s">
        <v>1</v>
      </c>
      <c r="C1" t="s">
        <v>2</v>
      </c>
      <c r="D1" t="s">
        <v>3</v>
      </c>
      <c r="E1" t="s">
        <v>4</v>
      </c>
      <c r="F1" t="s">
        <v>5</v>
      </c>
      <c r="G1" t="s">
        <v>6</v>
      </c>
      <c r="H1" t="s">
        <v>7</v>
      </c>
      <c r="I1" t="s">
        <v>8</v>
      </c>
      <c r="J1" t="s">
        <v>9</v>
      </c>
      <c r="K1" t="s">
        <v>10</v>
      </c>
    </row>
    <row r="2" spans="1:11">
      <c r="A2">
        <v>1028</v>
      </c>
      <c r="B2" t="s">
        <v>11</v>
      </c>
      <c r="C2" t="s">
        <v>12</v>
      </c>
      <c r="D2" t="s">
        <v>13</v>
      </c>
      <c r="E2">
        <v>2</v>
      </c>
      <c r="F2">
        <v>45.5</v>
      </c>
      <c r="G2" t="s">
        <v>14</v>
      </c>
      <c r="H2" t="s">
        <v>15</v>
      </c>
      <c r="I2" t="s">
        <v>16</v>
      </c>
      <c r="J2" t="s">
        <v>17</v>
      </c>
    </row>
    <row r="3" spans="1:11">
      <c r="A3">
        <v>1016</v>
      </c>
      <c r="B3" s="1">
        <v>45727</v>
      </c>
      <c r="C3" t="s">
        <v>18</v>
      </c>
      <c r="D3" t="s">
        <v>19</v>
      </c>
      <c r="E3">
        <v>1</v>
      </c>
      <c r="F3">
        <v>125</v>
      </c>
      <c r="G3" t="s">
        <v>20</v>
      </c>
      <c r="H3" t="s">
        <v>21</v>
      </c>
      <c r="I3" t="s">
        <v>16</v>
      </c>
      <c r="J3" t="s">
        <v>22</v>
      </c>
    </row>
    <row r="4" spans="1:11">
      <c r="A4">
        <v>1024</v>
      </c>
      <c r="B4" t="s">
        <v>23</v>
      </c>
      <c r="C4" t="s">
        <v>24</v>
      </c>
      <c r="D4" t="s">
        <v>13</v>
      </c>
      <c r="E4">
        <v>1</v>
      </c>
      <c r="F4">
        <v>45.5</v>
      </c>
      <c r="G4" t="s">
        <v>25</v>
      </c>
      <c r="H4" t="s">
        <v>15</v>
      </c>
      <c r="I4" t="s">
        <v>16</v>
      </c>
      <c r="J4" t="s">
        <v>17</v>
      </c>
    </row>
    <row r="5" spans="1:11">
      <c r="A5">
        <v>1018</v>
      </c>
      <c r="B5" t="s">
        <v>26</v>
      </c>
      <c r="C5" t="s">
        <v>27</v>
      </c>
      <c r="D5" t="s">
        <v>13</v>
      </c>
      <c r="E5">
        <v>2</v>
      </c>
      <c r="F5">
        <v>45.5</v>
      </c>
      <c r="G5" t="s">
        <v>28</v>
      </c>
      <c r="H5" t="s">
        <v>15</v>
      </c>
      <c r="I5" t="s">
        <v>16</v>
      </c>
      <c r="J5" t="s">
        <v>22</v>
      </c>
    </row>
    <row r="6" spans="1:11">
      <c r="A6">
        <v>1009</v>
      </c>
      <c r="B6" s="2">
        <v>45841</v>
      </c>
      <c r="C6" t="s">
        <v>29</v>
      </c>
      <c r="D6" t="s">
        <v>30</v>
      </c>
      <c r="E6">
        <v>2</v>
      </c>
      <c r="F6">
        <v>60</v>
      </c>
      <c r="G6" t="s">
        <v>14</v>
      </c>
      <c r="H6" t="s">
        <v>15</v>
      </c>
      <c r="I6" t="s">
        <v>16</v>
      </c>
      <c r="J6" t="s">
        <v>22</v>
      </c>
    </row>
    <row r="7" spans="1:11">
      <c r="A7">
        <v>1010</v>
      </c>
      <c r="B7" s="2">
        <v>45724</v>
      </c>
      <c r="C7" t="s">
        <v>31</v>
      </c>
      <c r="D7" t="s">
        <v>13</v>
      </c>
      <c r="E7">
        <v>3</v>
      </c>
      <c r="F7" t="s">
        <v>32</v>
      </c>
      <c r="G7" t="s">
        <v>33</v>
      </c>
      <c r="H7" t="s">
        <v>34</v>
      </c>
      <c r="I7" t="s">
        <v>16</v>
      </c>
      <c r="J7" t="s">
        <v>17</v>
      </c>
    </row>
    <row r="8" spans="1:11">
      <c r="A8">
        <v>1029</v>
      </c>
      <c r="B8" t="s">
        <v>35</v>
      </c>
      <c r="C8" t="s">
        <v>27</v>
      </c>
      <c r="D8" t="s">
        <v>30</v>
      </c>
      <c r="E8">
        <v>3</v>
      </c>
      <c r="F8">
        <v>60</v>
      </c>
      <c r="G8" t="s">
        <v>14</v>
      </c>
      <c r="H8" t="s">
        <v>15</v>
      </c>
      <c r="I8" t="s">
        <v>16</v>
      </c>
      <c r="J8" t="s">
        <v>22</v>
      </c>
    </row>
    <row r="9" spans="1:11">
      <c r="A9">
        <v>1025</v>
      </c>
      <c r="B9" t="s">
        <v>36</v>
      </c>
      <c r="C9" t="s">
        <v>37</v>
      </c>
      <c r="D9" t="s">
        <v>30</v>
      </c>
      <c r="F9">
        <v>60</v>
      </c>
      <c r="G9" t="s">
        <v>14</v>
      </c>
      <c r="H9" t="s">
        <v>15</v>
      </c>
      <c r="I9" t="s">
        <v>38</v>
      </c>
      <c r="J9" t="s">
        <v>22</v>
      </c>
      <c r="K9" t="s">
        <v>39</v>
      </c>
    </row>
    <row r="10" spans="1:11">
      <c r="A10">
        <v>1013</v>
      </c>
      <c r="B10" s="1">
        <v>45725</v>
      </c>
      <c r="C10" t="s">
        <v>40</v>
      </c>
      <c r="D10" t="s">
        <v>19</v>
      </c>
      <c r="E10">
        <v>2</v>
      </c>
      <c r="F10" s="3">
        <v>125</v>
      </c>
      <c r="G10" t="s">
        <v>41</v>
      </c>
      <c r="H10" t="s">
        <v>42</v>
      </c>
      <c r="I10" t="s">
        <v>38</v>
      </c>
      <c r="J10" t="s">
        <v>17</v>
      </c>
      <c r="K10" t="s">
        <v>43</v>
      </c>
    </row>
    <row r="11" spans="1:11">
      <c r="A11">
        <v>1001</v>
      </c>
      <c r="B11" s="2">
        <v>45660</v>
      </c>
      <c r="C11" t="s">
        <v>44</v>
      </c>
      <c r="D11" t="s">
        <v>45</v>
      </c>
      <c r="E11">
        <v>2</v>
      </c>
      <c r="F11">
        <v>25</v>
      </c>
      <c r="G11" t="s">
        <v>14</v>
      </c>
      <c r="H11" t="s">
        <v>15</v>
      </c>
      <c r="I11" t="s">
        <v>16</v>
      </c>
      <c r="J11" t="s">
        <v>46</v>
      </c>
      <c r="K11" t="s">
        <v>47</v>
      </c>
    </row>
    <row r="12" spans="1:11">
      <c r="A12">
        <v>1005</v>
      </c>
      <c r="B12" s="2">
        <v>45720</v>
      </c>
      <c r="C12" t="s">
        <v>48</v>
      </c>
      <c r="D12" t="s">
        <v>13</v>
      </c>
      <c r="E12">
        <v>2</v>
      </c>
      <c r="F12">
        <v>45.5</v>
      </c>
      <c r="G12" t="s">
        <v>49</v>
      </c>
      <c r="H12" t="s">
        <v>15</v>
      </c>
      <c r="I12" t="s">
        <v>16</v>
      </c>
      <c r="J12" t="s">
        <v>17</v>
      </c>
      <c r="K12" t="s">
        <v>50</v>
      </c>
    </row>
    <row r="13" spans="1:11">
      <c r="A13">
        <v>1017</v>
      </c>
      <c r="B13" s="1">
        <v>45728</v>
      </c>
      <c r="C13" t="s">
        <v>51</v>
      </c>
      <c r="D13" t="s">
        <v>30</v>
      </c>
      <c r="E13">
        <v>3</v>
      </c>
      <c r="F13">
        <v>60</v>
      </c>
      <c r="G13" t="s">
        <v>41</v>
      </c>
      <c r="H13" t="s">
        <v>42</v>
      </c>
      <c r="I13" t="s">
        <v>16</v>
      </c>
      <c r="J13" t="s">
        <v>17</v>
      </c>
    </row>
    <row r="14" spans="1:11">
      <c r="A14">
        <v>1006</v>
      </c>
      <c r="B14" s="1">
        <v>45720</v>
      </c>
      <c r="C14" t="s">
        <v>52</v>
      </c>
      <c r="D14" t="s">
        <v>45</v>
      </c>
      <c r="F14">
        <v>25</v>
      </c>
      <c r="G14" t="s">
        <v>33</v>
      </c>
      <c r="H14" t="s">
        <v>34</v>
      </c>
      <c r="I14" t="s">
        <v>38</v>
      </c>
      <c r="J14" t="s">
        <v>53</v>
      </c>
      <c r="K14" t="s">
        <v>39</v>
      </c>
    </row>
    <row r="15" spans="1:11">
      <c r="A15">
        <v>1014</v>
      </c>
      <c r="B15" s="2">
        <v>45933</v>
      </c>
      <c r="C15" t="s">
        <v>54</v>
      </c>
      <c r="D15" t="s">
        <v>13</v>
      </c>
      <c r="E15">
        <v>2</v>
      </c>
      <c r="F15" t="s">
        <v>55</v>
      </c>
      <c r="G15" t="s">
        <v>33</v>
      </c>
      <c r="H15" t="s">
        <v>34</v>
      </c>
      <c r="I15" t="s">
        <v>16</v>
      </c>
      <c r="J15" t="s">
        <v>53</v>
      </c>
    </row>
    <row r="16" spans="1:11">
      <c r="A16">
        <v>1012</v>
      </c>
      <c r="B16" t="s">
        <v>56</v>
      </c>
      <c r="C16" t="s">
        <v>57</v>
      </c>
      <c r="D16" t="s">
        <v>45</v>
      </c>
      <c r="E16">
        <v>1</v>
      </c>
      <c r="F16">
        <v>25</v>
      </c>
      <c r="G16" t="s">
        <v>14</v>
      </c>
      <c r="H16" t="s">
        <v>15</v>
      </c>
      <c r="I16" t="s">
        <v>16</v>
      </c>
      <c r="J16" t="s">
        <v>46</v>
      </c>
    </row>
    <row r="17" spans="1:11">
      <c r="A17">
        <v>1023</v>
      </c>
      <c r="B17" s="1">
        <v>45734</v>
      </c>
      <c r="C17" t="s">
        <v>51</v>
      </c>
      <c r="D17" t="s">
        <v>45</v>
      </c>
      <c r="E17">
        <v>8</v>
      </c>
      <c r="F17">
        <v>24.5</v>
      </c>
      <c r="G17" t="s">
        <v>58</v>
      </c>
      <c r="H17" t="s">
        <v>42</v>
      </c>
      <c r="I17" t="s">
        <v>16</v>
      </c>
      <c r="J17" t="s">
        <v>46</v>
      </c>
    </row>
    <row r="18" spans="1:11">
      <c r="A18">
        <v>1002</v>
      </c>
      <c r="B18" s="2">
        <v>45717</v>
      </c>
      <c r="C18" t="s">
        <v>59</v>
      </c>
      <c r="D18" t="s">
        <v>13</v>
      </c>
      <c r="E18">
        <v>1</v>
      </c>
      <c r="F18">
        <v>45.5</v>
      </c>
      <c r="G18" t="s">
        <v>33</v>
      </c>
      <c r="H18" t="s">
        <v>34</v>
      </c>
      <c r="I18" t="s">
        <v>38</v>
      </c>
      <c r="J18" t="s">
        <v>60</v>
      </c>
    </row>
    <row r="19" spans="1:11">
      <c r="A19">
        <v>1003</v>
      </c>
      <c r="B19" s="2">
        <v>45718</v>
      </c>
      <c r="C19" t="s">
        <v>61</v>
      </c>
      <c r="D19" t="s">
        <v>45</v>
      </c>
      <c r="E19">
        <v>5</v>
      </c>
      <c r="F19">
        <v>25</v>
      </c>
      <c r="G19" t="s">
        <v>62</v>
      </c>
      <c r="H19" t="s">
        <v>15</v>
      </c>
      <c r="I19" t="s">
        <v>16</v>
      </c>
      <c r="J19" t="s">
        <v>22</v>
      </c>
      <c r="K19" t="s">
        <v>63</v>
      </c>
    </row>
    <row r="20" spans="1:11">
      <c r="A20">
        <v>1026</v>
      </c>
      <c r="B20" t="s">
        <v>64</v>
      </c>
      <c r="C20" t="s">
        <v>51</v>
      </c>
      <c r="D20" t="s">
        <v>45</v>
      </c>
      <c r="E20">
        <v>5</v>
      </c>
      <c r="F20">
        <v>24.5</v>
      </c>
      <c r="G20" t="s">
        <v>41</v>
      </c>
      <c r="H20" t="s">
        <v>42</v>
      </c>
      <c r="I20" t="s">
        <v>16</v>
      </c>
      <c r="J20" t="s">
        <v>46</v>
      </c>
    </row>
    <row r="21" spans="1:11">
      <c r="A21">
        <v>1004</v>
      </c>
      <c r="B21" s="2">
        <v>45719</v>
      </c>
      <c r="C21" t="s">
        <v>51</v>
      </c>
      <c r="D21" t="s">
        <v>30</v>
      </c>
      <c r="E21">
        <v>3</v>
      </c>
      <c r="F21" t="s">
        <v>65</v>
      </c>
      <c r="G21" t="s">
        <v>66</v>
      </c>
      <c r="H21" t="s">
        <v>42</v>
      </c>
      <c r="I21" t="s">
        <v>16</v>
      </c>
      <c r="J21" t="s">
        <v>46</v>
      </c>
    </row>
    <row r="22" spans="1:11">
      <c r="A22">
        <v>1022</v>
      </c>
      <c r="B22" t="s">
        <v>67</v>
      </c>
      <c r="C22" t="s">
        <v>27</v>
      </c>
      <c r="D22" t="s">
        <v>30</v>
      </c>
      <c r="E22" t="s">
        <v>68</v>
      </c>
      <c r="F22">
        <v>60</v>
      </c>
      <c r="G22" t="s">
        <v>14</v>
      </c>
      <c r="H22" t="s">
        <v>15</v>
      </c>
      <c r="I22" t="s">
        <v>38</v>
      </c>
      <c r="J22" t="s">
        <v>53</v>
      </c>
      <c r="K22" t="s">
        <v>69</v>
      </c>
    </row>
    <row r="23" spans="1:11">
      <c r="A23">
        <v>1027</v>
      </c>
      <c r="B23" t="s">
        <v>70</v>
      </c>
      <c r="C23" t="s">
        <v>71</v>
      </c>
      <c r="D23" t="s">
        <v>72</v>
      </c>
      <c r="E23">
        <v>1</v>
      </c>
      <c r="F23">
        <v>300</v>
      </c>
      <c r="G23" t="s">
        <v>73</v>
      </c>
      <c r="H23" t="s">
        <v>74</v>
      </c>
      <c r="I23" t="s">
        <v>16</v>
      </c>
      <c r="J23" t="s">
        <v>75</v>
      </c>
      <c r="K23" t="s">
        <v>76</v>
      </c>
    </row>
    <row r="24" spans="1:11">
      <c r="A24">
        <v>1019</v>
      </c>
      <c r="B24" t="s">
        <v>77</v>
      </c>
      <c r="C24" t="s">
        <v>78</v>
      </c>
      <c r="D24" t="s">
        <v>45</v>
      </c>
      <c r="E24">
        <v>1</v>
      </c>
      <c r="F24">
        <v>25</v>
      </c>
      <c r="G24" t="s">
        <v>14</v>
      </c>
      <c r="H24" t="s">
        <v>15</v>
      </c>
      <c r="I24" t="s">
        <v>16</v>
      </c>
      <c r="J24" t="s">
        <v>46</v>
      </c>
    </row>
    <row r="25" spans="1:11">
      <c r="A25">
        <v>1030</v>
      </c>
      <c r="B25" t="s">
        <v>79</v>
      </c>
      <c r="C25" t="s">
        <v>80</v>
      </c>
      <c r="D25" t="s">
        <v>45</v>
      </c>
      <c r="E25">
        <v>2</v>
      </c>
      <c r="F25" t="s">
        <v>81</v>
      </c>
      <c r="G25" t="s">
        <v>41</v>
      </c>
      <c r="H25" t="s">
        <v>42</v>
      </c>
      <c r="I25" t="s">
        <v>16</v>
      </c>
      <c r="J25" t="s">
        <v>46</v>
      </c>
    </row>
    <row r="26" spans="1:11">
      <c r="A26">
        <v>1021</v>
      </c>
      <c r="B26" t="s">
        <v>82</v>
      </c>
      <c r="C26" t="s">
        <v>83</v>
      </c>
      <c r="D26" t="s">
        <v>13</v>
      </c>
      <c r="E26">
        <v>2</v>
      </c>
      <c r="F26">
        <v>45.5</v>
      </c>
      <c r="G26" t="s">
        <v>33</v>
      </c>
      <c r="H26" t="s">
        <v>34</v>
      </c>
      <c r="I26" t="s">
        <v>16</v>
      </c>
      <c r="J26" t="s">
        <v>17</v>
      </c>
    </row>
    <row r="27" spans="1:11">
      <c r="A27">
        <v>1008</v>
      </c>
      <c r="B27" s="2">
        <v>45811</v>
      </c>
      <c r="C27" t="s">
        <v>84</v>
      </c>
      <c r="D27" t="s">
        <v>45</v>
      </c>
      <c r="E27">
        <v>10</v>
      </c>
      <c r="F27">
        <v>24.5</v>
      </c>
      <c r="G27" t="s">
        <v>41</v>
      </c>
      <c r="H27" t="s">
        <v>42</v>
      </c>
      <c r="I27" t="s">
        <v>16</v>
      </c>
      <c r="J27" t="s">
        <v>46</v>
      </c>
    </row>
    <row r="28" spans="1:11">
      <c r="A28">
        <v>1011</v>
      </c>
      <c r="B28" s="1">
        <v>45724</v>
      </c>
      <c r="C28" t="s">
        <v>85</v>
      </c>
      <c r="D28" t="s">
        <v>86</v>
      </c>
      <c r="E28">
        <v>2</v>
      </c>
      <c r="F28">
        <v>200</v>
      </c>
      <c r="G28" t="s">
        <v>20</v>
      </c>
      <c r="H28" t="s">
        <v>21</v>
      </c>
      <c r="I28" t="s">
        <v>38</v>
      </c>
      <c r="J28" t="s">
        <v>22</v>
      </c>
      <c r="K28" t="s">
        <v>87</v>
      </c>
    </row>
    <row r="29" spans="1:11">
      <c r="A29">
        <v>1015</v>
      </c>
      <c r="B29" s="2">
        <v>45727</v>
      </c>
      <c r="C29" t="s">
        <v>48</v>
      </c>
      <c r="D29" t="s">
        <v>45</v>
      </c>
      <c r="E29">
        <v>4</v>
      </c>
      <c r="F29">
        <v>25</v>
      </c>
      <c r="G29" t="s">
        <v>62</v>
      </c>
      <c r="H29" t="s">
        <v>15</v>
      </c>
      <c r="I29" t="s">
        <v>16</v>
      </c>
      <c r="J29" t="s">
        <v>46</v>
      </c>
    </row>
    <row r="30" spans="1:11">
      <c r="A30">
        <v>1020</v>
      </c>
      <c r="B30" t="s">
        <v>88</v>
      </c>
      <c r="C30" t="s">
        <v>89</v>
      </c>
      <c r="D30" t="s">
        <v>90</v>
      </c>
      <c r="E30">
        <v>1</v>
      </c>
      <c r="F30">
        <v>0</v>
      </c>
      <c r="G30" t="s">
        <v>89</v>
      </c>
      <c r="I30" t="s">
        <v>38</v>
      </c>
      <c r="J30" t="s">
        <v>46</v>
      </c>
      <c r="K30" t="s">
        <v>91</v>
      </c>
    </row>
    <row r="31" spans="1:11">
      <c r="A31">
        <v>1007</v>
      </c>
      <c r="B31" s="2">
        <v>45780</v>
      </c>
      <c r="C31" t="s">
        <v>92</v>
      </c>
      <c r="D31" t="s">
        <v>19</v>
      </c>
      <c r="E31">
        <v>1</v>
      </c>
      <c r="F31">
        <v>125</v>
      </c>
      <c r="G31" t="s">
        <v>20</v>
      </c>
      <c r="H31" t="s">
        <v>21</v>
      </c>
      <c r="I31" t="s">
        <v>16</v>
      </c>
      <c r="J31" t="s">
        <v>22</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2F1B-1DB1-4F25-8513-168C0FCD3D02}">
  <dimension ref="A1:P31"/>
  <sheetViews>
    <sheetView topLeftCell="A3" zoomScale="85" zoomScaleNormal="85" workbookViewId="0">
      <selection activeCell="S8" sqref="S8"/>
    </sheetView>
  </sheetViews>
  <sheetFormatPr defaultRowHeight="14.5"/>
  <cols>
    <col min="1" max="1" width="9.5" customWidth="1"/>
    <col min="2" max="2" width="12" customWidth="1"/>
    <col min="3" max="3" width="15.83203125" customWidth="1"/>
    <col min="4" max="4" width="9.4140625" customWidth="1"/>
    <col min="5" max="5" width="10.4140625" customWidth="1"/>
    <col min="8" max="8" width="8.6640625" customWidth="1"/>
    <col min="9" max="9" width="11.25" customWidth="1"/>
    <col min="10" max="10" width="10.1640625" customWidth="1"/>
    <col min="11" max="11" width="8.6640625" customWidth="1"/>
    <col min="12" max="12" width="12.33203125" customWidth="1"/>
    <col min="14" max="14" width="12.1640625" customWidth="1"/>
    <col min="16" max="16" width="10.9140625" customWidth="1"/>
    <col min="17" max="17" width="11.1640625" customWidth="1"/>
    <col min="18" max="18" width="8.6640625" customWidth="1"/>
    <col min="19" max="19" width="10.5" customWidth="1"/>
    <col min="21" max="21" width="10.1640625" customWidth="1"/>
  </cols>
  <sheetData>
    <row r="1" spans="1:16">
      <c r="A1" t="s">
        <v>0</v>
      </c>
      <c r="B1" t="s">
        <v>1</v>
      </c>
      <c r="C1" t="s">
        <v>2</v>
      </c>
      <c r="D1" t="s">
        <v>3</v>
      </c>
      <c r="E1" t="s">
        <v>5</v>
      </c>
      <c r="F1" t="s">
        <v>4</v>
      </c>
      <c r="G1" t="s">
        <v>6</v>
      </c>
      <c r="H1" t="s">
        <v>7</v>
      </c>
      <c r="I1" t="s">
        <v>104</v>
      </c>
      <c r="J1" t="s">
        <v>8</v>
      </c>
      <c r="K1" t="s">
        <v>9</v>
      </c>
      <c r="L1" t="s">
        <v>10</v>
      </c>
      <c r="N1" s="7" t="s">
        <v>3</v>
      </c>
      <c r="O1" s="7" t="s">
        <v>108</v>
      </c>
    </row>
    <row r="2" spans="1:16">
      <c r="A2">
        <v>1006</v>
      </c>
      <c r="B2" s="6">
        <v>45720</v>
      </c>
      <c r="C2" t="s">
        <v>52</v>
      </c>
      <c r="D2" t="s">
        <v>45</v>
      </c>
      <c r="E2" s="5">
        <v>25</v>
      </c>
      <c r="F2">
        <v>60</v>
      </c>
      <c r="G2" t="s">
        <v>33</v>
      </c>
      <c r="H2" t="s">
        <v>34</v>
      </c>
      <c r="I2" s="5">
        <f>SalesRawClean[[#This Row],[Qty]] * SalesRawClean[[#This Row],[UnitPrice]]</f>
        <v>1500</v>
      </c>
      <c r="J2" t="s">
        <v>38</v>
      </c>
      <c r="K2" t="s">
        <v>53</v>
      </c>
      <c r="L2" t="s">
        <v>39</v>
      </c>
      <c r="N2" s="8" t="s">
        <v>45</v>
      </c>
      <c r="O2" s="8">
        <f>VLOOKUP(N2,SalesRawClean[[Product]:[UnitPrice]],2,FALSE)</f>
        <v>25</v>
      </c>
    </row>
    <row r="3" spans="1:16">
      <c r="A3">
        <v>1011</v>
      </c>
      <c r="B3" s="6">
        <v>45724</v>
      </c>
      <c r="C3" t="s">
        <v>103</v>
      </c>
      <c r="D3" t="s">
        <v>86</v>
      </c>
      <c r="E3" s="5">
        <v>200</v>
      </c>
      <c r="F3">
        <v>2</v>
      </c>
      <c r="G3" t="s">
        <v>20</v>
      </c>
      <c r="H3" t="s">
        <v>21</v>
      </c>
      <c r="I3" s="5">
        <f>SalesRawClean[[#This Row],[Qty]] * SalesRawClean[[#This Row],[UnitPrice]]</f>
        <v>400</v>
      </c>
      <c r="J3" t="s">
        <v>38</v>
      </c>
      <c r="K3" t="s">
        <v>22</v>
      </c>
      <c r="L3" t="s">
        <v>87</v>
      </c>
      <c r="N3" s="8" t="s">
        <v>13</v>
      </c>
      <c r="O3" s="8">
        <f>VLOOKUP(N3,SalesRawClean[[Product]:[UnitPrice]],2,FALSE)</f>
        <v>45.5</v>
      </c>
    </row>
    <row r="4" spans="1:16">
      <c r="A4">
        <v>1025</v>
      </c>
      <c r="B4" s="6">
        <v>45736</v>
      </c>
      <c r="C4" t="s">
        <v>27</v>
      </c>
      <c r="D4" t="s">
        <v>30</v>
      </c>
      <c r="E4" s="5">
        <v>60</v>
      </c>
      <c r="F4">
        <v>5</v>
      </c>
      <c r="G4" t="s">
        <v>14</v>
      </c>
      <c r="H4" t="s">
        <v>15</v>
      </c>
      <c r="I4" s="5">
        <f>SalesRawClean[[#This Row],[Qty]] * SalesRawClean[[#This Row],[UnitPrice]]</f>
        <v>300</v>
      </c>
      <c r="J4" t="s">
        <v>38</v>
      </c>
      <c r="K4" t="s">
        <v>22</v>
      </c>
      <c r="L4" t="s">
        <v>39</v>
      </c>
      <c r="N4" s="8" t="s">
        <v>30</v>
      </c>
      <c r="O4" s="8">
        <f>VLOOKUP(N4,SalesRawClean[[Product]:[UnitPrice]],2,FALSE)</f>
        <v>60</v>
      </c>
    </row>
    <row r="5" spans="1:16">
      <c r="A5">
        <v>1027</v>
      </c>
      <c r="B5" s="6">
        <v>45738</v>
      </c>
      <c r="C5" t="s">
        <v>71</v>
      </c>
      <c r="D5" t="s">
        <v>72</v>
      </c>
      <c r="E5" s="5">
        <v>300</v>
      </c>
      <c r="F5">
        <v>1</v>
      </c>
      <c r="G5" t="s">
        <v>73</v>
      </c>
      <c r="H5" t="s">
        <v>74</v>
      </c>
      <c r="I5" s="5">
        <f>SalesRawClean[[#This Row],[Qty]] * SalesRawClean[[#This Row],[UnitPrice]]</f>
        <v>300</v>
      </c>
      <c r="J5" t="s">
        <v>16</v>
      </c>
      <c r="K5" t="s">
        <v>75</v>
      </c>
      <c r="L5" t="s">
        <v>76</v>
      </c>
      <c r="N5" s="8" t="s">
        <v>19</v>
      </c>
      <c r="O5" s="8">
        <f>VLOOKUP(N5,SalesRawClean[[Product]:[UnitPrice]],2,FALSE)</f>
        <v>125</v>
      </c>
    </row>
    <row r="6" spans="1:16">
      <c r="A6">
        <v>1002</v>
      </c>
      <c r="B6" s="6">
        <v>45660</v>
      </c>
      <c r="C6" t="s">
        <v>52</v>
      </c>
      <c r="D6" t="s">
        <v>13</v>
      </c>
      <c r="E6" s="5">
        <v>45.5</v>
      </c>
      <c r="F6">
        <v>6</v>
      </c>
      <c r="G6" t="s">
        <v>33</v>
      </c>
      <c r="H6" t="s">
        <v>34</v>
      </c>
      <c r="I6" s="5">
        <f>SalesRawClean[[#This Row],[Qty]] * SalesRawClean[[#This Row],[UnitPrice]]</f>
        <v>273</v>
      </c>
      <c r="J6" t="s">
        <v>38</v>
      </c>
      <c r="K6" t="s">
        <v>17</v>
      </c>
      <c r="L6" t="s">
        <v>94</v>
      </c>
      <c r="N6" s="8" t="s">
        <v>86</v>
      </c>
      <c r="O6" s="8">
        <f>VLOOKUP(N6,SalesRawClean[[Product]:[UnitPrice]],2,FALSE)</f>
        <v>200</v>
      </c>
    </row>
    <row r="7" spans="1:16">
      <c r="A7">
        <v>1013</v>
      </c>
      <c r="B7" s="6">
        <v>45725</v>
      </c>
      <c r="C7" t="s">
        <v>96</v>
      </c>
      <c r="D7" t="s">
        <v>19</v>
      </c>
      <c r="E7" s="5">
        <v>125</v>
      </c>
      <c r="F7">
        <v>2</v>
      </c>
      <c r="G7" t="s">
        <v>41</v>
      </c>
      <c r="H7" t="s">
        <v>42</v>
      </c>
      <c r="I7" s="5">
        <f>SalesRawClean[[#This Row],[Qty]] * SalesRawClean[[#This Row],[UnitPrice]]</f>
        <v>250</v>
      </c>
      <c r="J7" t="s">
        <v>38</v>
      </c>
      <c r="K7" t="s">
        <v>17</v>
      </c>
      <c r="L7" t="s">
        <v>43</v>
      </c>
      <c r="N7" s="8" t="s">
        <v>90</v>
      </c>
      <c r="O7" s="8">
        <f>VLOOKUP(N7,SalesRawClean[[Product]:[UnitPrice]],2,FALSE)</f>
        <v>20</v>
      </c>
    </row>
    <row r="8" spans="1:16">
      <c r="A8">
        <v>1008</v>
      </c>
      <c r="B8" s="6">
        <v>45722</v>
      </c>
      <c r="C8" t="s">
        <v>96</v>
      </c>
      <c r="D8" t="s">
        <v>45</v>
      </c>
      <c r="E8" s="5">
        <v>24.5</v>
      </c>
      <c r="F8">
        <v>10</v>
      </c>
      <c r="G8" t="s">
        <v>41</v>
      </c>
      <c r="H8" t="s">
        <v>42</v>
      </c>
      <c r="I8" s="5">
        <f>SalesRawClean[[#This Row],[Qty]] * SalesRawClean[[#This Row],[UnitPrice]]</f>
        <v>245</v>
      </c>
      <c r="J8" t="s">
        <v>16</v>
      </c>
      <c r="K8" t="s">
        <v>46</v>
      </c>
      <c r="L8" t="s">
        <v>94</v>
      </c>
      <c r="N8" s="8" t="s">
        <v>72</v>
      </c>
      <c r="O8" s="8">
        <f>VLOOKUP(N8,SalesRawClean[[Product]:[UnitPrice]],2,FALSE)</f>
        <v>300</v>
      </c>
    </row>
    <row r="9" spans="1:16">
      <c r="A9">
        <v>1020</v>
      </c>
      <c r="B9" s="6">
        <v>45731</v>
      </c>
      <c r="C9" t="s">
        <v>105</v>
      </c>
      <c r="D9" t="s">
        <v>90</v>
      </c>
      <c r="E9" s="5">
        <v>20</v>
      </c>
      <c r="F9">
        <v>10</v>
      </c>
      <c r="G9" t="s">
        <v>109</v>
      </c>
      <c r="H9" t="s">
        <v>106</v>
      </c>
      <c r="I9" s="5">
        <f>SalesRawClean[[#This Row],[Qty]] * SalesRawClean[[#This Row],[UnitPrice]]</f>
        <v>200</v>
      </c>
      <c r="J9" t="s">
        <v>38</v>
      </c>
      <c r="K9" t="s">
        <v>46</v>
      </c>
      <c r="L9" t="s">
        <v>91</v>
      </c>
    </row>
    <row r="10" spans="1:16">
      <c r="A10">
        <v>1023</v>
      </c>
      <c r="B10" s="6">
        <v>45734</v>
      </c>
      <c r="C10" t="s">
        <v>96</v>
      </c>
      <c r="D10" t="s">
        <v>45</v>
      </c>
      <c r="E10" s="5">
        <v>24.5</v>
      </c>
      <c r="F10">
        <v>8</v>
      </c>
      <c r="G10" t="s">
        <v>41</v>
      </c>
      <c r="H10" t="s">
        <v>42</v>
      </c>
      <c r="I10" s="5">
        <f>SalesRawClean[[#This Row],[Qty]] * SalesRawClean[[#This Row],[UnitPrice]]</f>
        <v>196</v>
      </c>
      <c r="J10" t="s">
        <v>16</v>
      </c>
      <c r="K10" t="s">
        <v>46</v>
      </c>
      <c r="L10" t="s">
        <v>94</v>
      </c>
    </row>
    <row r="11" spans="1:16">
      <c r="A11">
        <v>1004</v>
      </c>
      <c r="B11" s="6">
        <v>45719</v>
      </c>
      <c r="C11" t="s">
        <v>96</v>
      </c>
      <c r="D11" t="s">
        <v>30</v>
      </c>
      <c r="E11" s="5">
        <v>60</v>
      </c>
      <c r="F11">
        <v>3</v>
      </c>
      <c r="G11" t="s">
        <v>41</v>
      </c>
      <c r="H11" t="s">
        <v>42</v>
      </c>
      <c r="I11" s="5">
        <f>SalesRawClean[[#This Row],[Qty]] * SalesRawClean[[#This Row],[UnitPrice]]</f>
        <v>180</v>
      </c>
      <c r="J11" t="s">
        <v>16</v>
      </c>
      <c r="K11" t="s">
        <v>46</v>
      </c>
      <c r="L11" t="s">
        <v>94</v>
      </c>
    </row>
    <row r="12" spans="1:16">
      <c r="A12">
        <v>1017</v>
      </c>
      <c r="B12" s="6">
        <v>45728</v>
      </c>
      <c r="C12" t="s">
        <v>96</v>
      </c>
      <c r="D12" t="s">
        <v>30</v>
      </c>
      <c r="E12" s="5">
        <v>60</v>
      </c>
      <c r="F12">
        <v>3</v>
      </c>
      <c r="G12" t="s">
        <v>41</v>
      </c>
      <c r="H12" t="s">
        <v>42</v>
      </c>
      <c r="I12" s="5">
        <f>SalesRawClean[[#This Row],[Qty]] * SalesRawClean[[#This Row],[UnitPrice]]</f>
        <v>180</v>
      </c>
      <c r="J12" t="s">
        <v>16</v>
      </c>
      <c r="K12" t="s">
        <v>17</v>
      </c>
      <c r="L12" t="s">
        <v>94</v>
      </c>
      <c r="N12" t="s">
        <v>123</v>
      </c>
      <c r="O12">
        <f>COUNTA(SalesRawClean[OrderID])</f>
        <v>30</v>
      </c>
    </row>
    <row r="13" spans="1:16">
      <c r="A13">
        <v>1029</v>
      </c>
      <c r="B13" s="6">
        <v>45740</v>
      </c>
      <c r="C13" t="s">
        <v>27</v>
      </c>
      <c r="D13" t="s">
        <v>30</v>
      </c>
      <c r="E13" s="5">
        <v>60</v>
      </c>
      <c r="F13">
        <v>3</v>
      </c>
      <c r="G13" t="s">
        <v>14</v>
      </c>
      <c r="H13" t="s">
        <v>15</v>
      </c>
      <c r="I13" s="5">
        <f>SalesRawClean[[#This Row],[Qty]] * SalesRawClean[[#This Row],[UnitPrice]]</f>
        <v>180</v>
      </c>
      <c r="J13" t="s">
        <v>16</v>
      </c>
      <c r="K13" t="s">
        <v>22</v>
      </c>
      <c r="L13" t="s">
        <v>94</v>
      </c>
      <c r="N13" t="s">
        <v>124</v>
      </c>
      <c r="O13" s="5">
        <f>SUM(SalesRawClean[TotalSales])</f>
        <v>5827.5</v>
      </c>
    </row>
    <row r="14" spans="1:16">
      <c r="A14">
        <v>1010</v>
      </c>
      <c r="B14" s="6">
        <v>45872</v>
      </c>
      <c r="C14" t="s">
        <v>95</v>
      </c>
      <c r="D14" t="s">
        <v>13</v>
      </c>
      <c r="E14" s="5">
        <v>45.5</v>
      </c>
      <c r="F14">
        <v>3</v>
      </c>
      <c r="G14" t="s">
        <v>33</v>
      </c>
      <c r="H14" t="s">
        <v>34</v>
      </c>
      <c r="I14" s="5">
        <f>SalesRawClean[[#This Row],[Qty]] * SalesRawClean[[#This Row],[UnitPrice]]</f>
        <v>136.5</v>
      </c>
      <c r="J14" t="s">
        <v>16</v>
      </c>
      <c r="K14" t="s">
        <v>17</v>
      </c>
      <c r="L14" t="s">
        <v>94</v>
      </c>
      <c r="N14" t="s">
        <v>125</v>
      </c>
      <c r="O14">
        <f>IF(COUNTA(SalesRawClean[OrderID])=0,0,SUM(SalesRawClean[TotalSales])/COUNTA(SalesRawClean[OrderID]))</f>
        <v>194.25</v>
      </c>
    </row>
    <row r="15" spans="1:16">
      <c r="A15">
        <v>1003</v>
      </c>
      <c r="B15" s="6">
        <v>45691</v>
      </c>
      <c r="C15" t="s">
        <v>27</v>
      </c>
      <c r="D15" t="s">
        <v>45</v>
      </c>
      <c r="E15" s="5">
        <v>25</v>
      </c>
      <c r="F15">
        <v>5</v>
      </c>
      <c r="G15" t="s">
        <v>14</v>
      </c>
      <c r="H15" t="s">
        <v>15</v>
      </c>
      <c r="I15" s="5">
        <f>SalesRawClean[[#This Row],[Qty]] * SalesRawClean[[#This Row],[UnitPrice]]</f>
        <v>125</v>
      </c>
      <c r="J15" t="s">
        <v>16</v>
      </c>
      <c r="K15" t="s">
        <v>22</v>
      </c>
      <c r="L15" t="s">
        <v>63</v>
      </c>
      <c r="N15" s="10" t="s">
        <v>45</v>
      </c>
      <c r="O15">
        <f>SUMIFS(SalesRawClean[TotalSales], SalesRawClean[Product], N15)</f>
        <v>2437.5</v>
      </c>
      <c r="P15">
        <f>MAX(O15:O21)</f>
        <v>2437.5</v>
      </c>
    </row>
    <row r="16" spans="1:16">
      <c r="A16">
        <v>1007</v>
      </c>
      <c r="B16" s="6">
        <v>45721</v>
      </c>
      <c r="C16" t="s">
        <v>92</v>
      </c>
      <c r="D16" t="s">
        <v>19</v>
      </c>
      <c r="E16" s="5">
        <v>125</v>
      </c>
      <c r="F16">
        <v>1</v>
      </c>
      <c r="G16" t="s">
        <v>20</v>
      </c>
      <c r="H16" t="s">
        <v>21</v>
      </c>
      <c r="I16" s="5">
        <f>SalesRawClean[[#This Row],[Qty]] * SalesRawClean[[#This Row],[UnitPrice]]</f>
        <v>125</v>
      </c>
      <c r="J16" t="s">
        <v>16</v>
      </c>
      <c r="K16" t="s">
        <v>22</v>
      </c>
      <c r="L16" t="s">
        <v>94</v>
      </c>
      <c r="N16" s="10" t="s">
        <v>30</v>
      </c>
      <c r="O16">
        <f>SUMIFS(SalesRawClean[TotalSales], SalesRawClean[Product], N16)</f>
        <v>1080</v>
      </c>
      <c r="P16" t="str">
        <f>INDEX(N15:N21, MATCH(P15, O15:O21, 0))</f>
        <v>Widget A</v>
      </c>
    </row>
    <row r="17" spans="1:15">
      <c r="A17">
        <v>1016</v>
      </c>
      <c r="B17" s="6">
        <v>45964</v>
      </c>
      <c r="C17" t="s">
        <v>92</v>
      </c>
      <c r="D17" t="s">
        <v>19</v>
      </c>
      <c r="E17" s="5">
        <v>125</v>
      </c>
      <c r="F17">
        <v>1</v>
      </c>
      <c r="G17" t="s">
        <v>20</v>
      </c>
      <c r="H17" t="s">
        <v>21</v>
      </c>
      <c r="I17" s="5">
        <f>SalesRawClean[[#This Row],[Qty]] * SalesRawClean[[#This Row],[UnitPrice]]</f>
        <v>125</v>
      </c>
      <c r="J17" t="s">
        <v>16</v>
      </c>
      <c r="K17" t="s">
        <v>22</v>
      </c>
      <c r="L17" t="s">
        <v>94</v>
      </c>
      <c r="N17" s="10" t="s">
        <v>13</v>
      </c>
      <c r="O17">
        <f>SUMIFS(SalesRawClean[TotalSales], SalesRawClean[Product], N17)</f>
        <v>910</v>
      </c>
    </row>
    <row r="18" spans="1:15">
      <c r="A18">
        <v>1026</v>
      </c>
      <c r="B18" s="6">
        <v>45737</v>
      </c>
      <c r="C18" t="s">
        <v>96</v>
      </c>
      <c r="D18" t="s">
        <v>45</v>
      </c>
      <c r="E18" s="5">
        <v>24.5</v>
      </c>
      <c r="F18">
        <v>5</v>
      </c>
      <c r="G18" t="s">
        <v>41</v>
      </c>
      <c r="H18" t="s">
        <v>42</v>
      </c>
      <c r="I18" s="5">
        <f>SalesRawClean[[#This Row],[Qty]] * SalesRawClean[[#This Row],[UnitPrice]]</f>
        <v>122.5</v>
      </c>
      <c r="J18" t="s">
        <v>16</v>
      </c>
      <c r="K18" t="s">
        <v>46</v>
      </c>
      <c r="L18" t="s">
        <v>94</v>
      </c>
      <c r="N18" s="10" t="s">
        <v>19</v>
      </c>
      <c r="O18">
        <f>SUMIFS(SalesRawClean[TotalSales], SalesRawClean[Product], N18)</f>
        <v>500</v>
      </c>
    </row>
    <row r="19" spans="1:15">
      <c r="A19">
        <v>1009</v>
      </c>
      <c r="B19" s="6">
        <v>45723</v>
      </c>
      <c r="C19" t="s">
        <v>27</v>
      </c>
      <c r="D19" t="s">
        <v>30</v>
      </c>
      <c r="E19" s="5">
        <v>60</v>
      </c>
      <c r="F19">
        <v>2</v>
      </c>
      <c r="G19" t="s">
        <v>14</v>
      </c>
      <c r="H19" t="s">
        <v>15</v>
      </c>
      <c r="I19" s="5">
        <f>SalesRawClean[[#This Row],[Qty]] * SalesRawClean[[#This Row],[UnitPrice]]</f>
        <v>120</v>
      </c>
      <c r="J19" t="s">
        <v>16</v>
      </c>
      <c r="K19" t="s">
        <v>22</v>
      </c>
      <c r="L19" t="s">
        <v>94</v>
      </c>
      <c r="N19" s="10" t="s">
        <v>86</v>
      </c>
      <c r="O19">
        <f>SUMIFS(SalesRawClean[TotalSales], SalesRawClean[Product], N19)</f>
        <v>400</v>
      </c>
    </row>
    <row r="20" spans="1:15">
      <c r="A20">
        <v>1022</v>
      </c>
      <c r="B20" s="6">
        <v>45733</v>
      </c>
      <c r="C20" t="s">
        <v>27</v>
      </c>
      <c r="D20" t="s">
        <v>30</v>
      </c>
      <c r="E20" s="5">
        <v>60</v>
      </c>
      <c r="F20">
        <v>2</v>
      </c>
      <c r="G20" t="s">
        <v>14</v>
      </c>
      <c r="H20" t="s">
        <v>15</v>
      </c>
      <c r="I20" s="5">
        <f>SalesRawClean[[#This Row],[Qty]] * SalesRawClean[[#This Row],[UnitPrice]]</f>
        <v>120</v>
      </c>
      <c r="J20" t="s">
        <v>38</v>
      </c>
      <c r="K20" t="s">
        <v>53</v>
      </c>
      <c r="L20" t="s">
        <v>69</v>
      </c>
      <c r="N20" s="10" t="s">
        <v>72</v>
      </c>
      <c r="O20">
        <f>SUMIFS(SalesRawClean[TotalSales], SalesRawClean[Product], N20)</f>
        <v>300</v>
      </c>
    </row>
    <row r="21" spans="1:15">
      <c r="A21">
        <v>1015</v>
      </c>
      <c r="B21" s="6">
        <v>45964</v>
      </c>
      <c r="C21" t="s">
        <v>44</v>
      </c>
      <c r="D21" t="s">
        <v>45</v>
      </c>
      <c r="E21" s="5">
        <v>25</v>
      </c>
      <c r="F21">
        <v>4</v>
      </c>
      <c r="G21" t="s">
        <v>14</v>
      </c>
      <c r="H21" t="s">
        <v>15</v>
      </c>
      <c r="I21" s="5">
        <f>SalesRawClean[[#This Row],[Qty]] * SalesRawClean[[#This Row],[UnitPrice]]</f>
        <v>100</v>
      </c>
      <c r="J21" t="s">
        <v>16</v>
      </c>
      <c r="K21" t="s">
        <v>46</v>
      </c>
      <c r="L21" t="s">
        <v>94</v>
      </c>
      <c r="N21" s="10" t="s">
        <v>90</v>
      </c>
      <c r="O21">
        <f>SUMIFS(SalesRawClean[TotalSales], SalesRawClean[Product], N21)</f>
        <v>200</v>
      </c>
    </row>
    <row r="22" spans="1:15">
      <c r="A22">
        <v>1014</v>
      </c>
      <c r="B22" s="6">
        <v>45726</v>
      </c>
      <c r="C22" t="s">
        <v>54</v>
      </c>
      <c r="D22" t="s">
        <v>13</v>
      </c>
      <c r="E22" s="5">
        <v>45.5</v>
      </c>
      <c r="F22">
        <v>2</v>
      </c>
      <c r="G22" t="s">
        <v>33</v>
      </c>
      <c r="H22" t="s">
        <v>34</v>
      </c>
      <c r="I22" s="5">
        <f>SalesRawClean[[#This Row],[Qty]] * SalesRawClean[[#This Row],[UnitPrice]]</f>
        <v>91</v>
      </c>
      <c r="J22" t="s">
        <v>16</v>
      </c>
      <c r="K22" t="s">
        <v>53</v>
      </c>
      <c r="L22" t="s">
        <v>94</v>
      </c>
    </row>
    <row r="23" spans="1:15">
      <c r="A23">
        <v>1018</v>
      </c>
      <c r="B23" s="6">
        <v>45729</v>
      </c>
      <c r="C23" t="s">
        <v>27</v>
      </c>
      <c r="D23" t="s">
        <v>13</v>
      </c>
      <c r="E23" s="5">
        <v>45.5</v>
      </c>
      <c r="F23">
        <v>2</v>
      </c>
      <c r="G23" t="s">
        <v>14</v>
      </c>
      <c r="H23" t="s">
        <v>15</v>
      </c>
      <c r="I23" s="5">
        <f>SalesRawClean[[#This Row],[Qty]] * SalesRawClean[[#This Row],[UnitPrice]]</f>
        <v>91</v>
      </c>
      <c r="J23" t="s">
        <v>16</v>
      </c>
      <c r="K23" t="s">
        <v>22</v>
      </c>
      <c r="L23" t="s">
        <v>94</v>
      </c>
    </row>
    <row r="24" spans="1:15">
      <c r="A24">
        <v>1021</v>
      </c>
      <c r="B24" s="6">
        <v>45732</v>
      </c>
      <c r="C24" t="s">
        <v>102</v>
      </c>
      <c r="D24" t="s">
        <v>13</v>
      </c>
      <c r="E24" s="5">
        <v>45.5</v>
      </c>
      <c r="F24">
        <v>2</v>
      </c>
      <c r="G24" t="s">
        <v>33</v>
      </c>
      <c r="H24" t="s">
        <v>34</v>
      </c>
      <c r="I24" s="5">
        <f>SalesRawClean[[#This Row],[Qty]] * SalesRawClean[[#This Row],[UnitPrice]]</f>
        <v>91</v>
      </c>
      <c r="J24" t="s">
        <v>16</v>
      </c>
      <c r="K24" t="s">
        <v>17</v>
      </c>
      <c r="L24" t="s">
        <v>94</v>
      </c>
    </row>
    <row r="25" spans="1:15">
      <c r="A25">
        <v>1028</v>
      </c>
      <c r="B25" s="6">
        <v>45739</v>
      </c>
      <c r="C25" t="s">
        <v>44</v>
      </c>
      <c r="D25" t="s">
        <v>13</v>
      </c>
      <c r="E25" s="4">
        <v>45.5</v>
      </c>
      <c r="F25">
        <v>2</v>
      </c>
      <c r="G25" t="s">
        <v>14</v>
      </c>
      <c r="H25" t="s">
        <v>15</v>
      </c>
      <c r="I25" s="5">
        <f>SalesRawClean[[#This Row],[Qty]] * SalesRawClean[[#This Row],[UnitPrice]]</f>
        <v>91</v>
      </c>
      <c r="J25" t="s">
        <v>16</v>
      </c>
      <c r="K25" t="s">
        <v>17</v>
      </c>
      <c r="L25" t="s">
        <v>94</v>
      </c>
    </row>
    <row r="26" spans="1:15">
      <c r="A26">
        <v>1005</v>
      </c>
      <c r="B26" s="6">
        <v>45750</v>
      </c>
      <c r="C26" t="s">
        <v>44</v>
      </c>
      <c r="D26" t="s">
        <v>13</v>
      </c>
      <c r="E26" s="5">
        <v>45.5</v>
      </c>
      <c r="F26">
        <v>2</v>
      </c>
      <c r="G26" t="s">
        <v>14</v>
      </c>
      <c r="H26" t="s">
        <v>15</v>
      </c>
      <c r="I26" s="5">
        <f>SalesRawClean[[#This Row],[Qty]] * SalesRawClean[[#This Row],[UnitPrice]]</f>
        <v>91</v>
      </c>
      <c r="J26" t="s">
        <v>16</v>
      </c>
      <c r="K26" t="s">
        <v>17</v>
      </c>
      <c r="L26" t="s">
        <v>94</v>
      </c>
    </row>
    <row r="27" spans="1:15">
      <c r="A27">
        <v>1001</v>
      </c>
      <c r="B27" s="6">
        <v>45717</v>
      </c>
      <c r="C27" t="s">
        <v>44</v>
      </c>
      <c r="D27" t="s">
        <v>45</v>
      </c>
      <c r="E27" s="5">
        <v>25</v>
      </c>
      <c r="F27">
        <v>2</v>
      </c>
      <c r="G27" t="s">
        <v>14</v>
      </c>
      <c r="H27" t="s">
        <v>15</v>
      </c>
      <c r="I27" s="5">
        <f>SalesRawClean[[#This Row],[Qty]] * SalesRawClean[[#This Row],[UnitPrice]]</f>
        <v>50</v>
      </c>
      <c r="J27" t="s">
        <v>16</v>
      </c>
      <c r="K27" t="s">
        <v>46</v>
      </c>
      <c r="L27" t="s">
        <v>47</v>
      </c>
    </row>
    <row r="28" spans="1:15">
      <c r="A28">
        <v>1030</v>
      </c>
      <c r="B28" s="6">
        <v>45741</v>
      </c>
      <c r="C28" t="s">
        <v>96</v>
      </c>
      <c r="D28" t="s">
        <v>45</v>
      </c>
      <c r="E28" s="5">
        <v>24.5</v>
      </c>
      <c r="F28">
        <v>2</v>
      </c>
      <c r="G28" t="s">
        <v>41</v>
      </c>
      <c r="H28" t="s">
        <v>42</v>
      </c>
      <c r="I28" s="5">
        <f>SalesRawClean[[#This Row],[Qty]] * SalesRawClean[[#This Row],[UnitPrice]]</f>
        <v>49</v>
      </c>
      <c r="J28" t="s">
        <v>16</v>
      </c>
      <c r="K28" t="s">
        <v>46</v>
      </c>
      <c r="L28" t="s">
        <v>94</v>
      </c>
    </row>
    <row r="29" spans="1:15">
      <c r="A29">
        <v>1024</v>
      </c>
      <c r="B29" s="6">
        <v>45735</v>
      </c>
      <c r="C29" t="s">
        <v>44</v>
      </c>
      <c r="D29" t="s">
        <v>13</v>
      </c>
      <c r="E29" s="5">
        <v>45.5</v>
      </c>
      <c r="F29">
        <v>1</v>
      </c>
      <c r="G29" t="s">
        <v>14</v>
      </c>
      <c r="H29" t="s">
        <v>15</v>
      </c>
      <c r="I29" s="5">
        <f>SalesRawClean[[#This Row],[Qty]] * SalesRawClean[[#This Row],[UnitPrice]]</f>
        <v>45.5</v>
      </c>
      <c r="J29" t="s">
        <v>16</v>
      </c>
      <c r="K29" t="s">
        <v>17</v>
      </c>
      <c r="L29" t="s">
        <v>94</v>
      </c>
    </row>
    <row r="30" spans="1:15">
      <c r="A30">
        <v>1012</v>
      </c>
      <c r="B30" s="6">
        <v>45725</v>
      </c>
      <c r="C30" t="s">
        <v>93</v>
      </c>
      <c r="D30" t="s">
        <v>45</v>
      </c>
      <c r="E30" s="5">
        <v>25</v>
      </c>
      <c r="F30">
        <v>1</v>
      </c>
      <c r="G30" t="s">
        <v>14</v>
      </c>
      <c r="H30" t="s">
        <v>15</v>
      </c>
      <c r="I30" s="5">
        <f>SalesRawClean[[#This Row],[Qty]] * SalesRawClean[[#This Row],[UnitPrice]]</f>
        <v>25</v>
      </c>
      <c r="J30" t="s">
        <v>16</v>
      </c>
      <c r="K30" t="s">
        <v>46</v>
      </c>
      <c r="L30" t="s">
        <v>94</v>
      </c>
    </row>
    <row r="31" spans="1:15">
      <c r="A31">
        <v>1019</v>
      </c>
      <c r="B31" s="6">
        <v>45730</v>
      </c>
      <c r="C31" t="s">
        <v>44</v>
      </c>
      <c r="D31" t="s">
        <v>45</v>
      </c>
      <c r="E31" s="5">
        <v>25</v>
      </c>
      <c r="F31">
        <v>1</v>
      </c>
      <c r="G31" t="s">
        <v>14</v>
      </c>
      <c r="H31" t="s">
        <v>15</v>
      </c>
      <c r="I31" s="5">
        <f>SalesRawClean[[#This Row],[Qty]] * SalesRawClean[[#This Row],[UnitPrice]]</f>
        <v>25</v>
      </c>
      <c r="J31" t="s">
        <v>16</v>
      </c>
      <c r="K31" t="s">
        <v>46</v>
      </c>
      <c r="L31" t="s">
        <v>94</v>
      </c>
    </row>
  </sheetData>
  <sheetProtection sheet="1" objects="1" scenarios="1"/>
  <phoneticPr fontId="1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DD30-3175-4D92-B030-FC4ADDC548D6}">
  <dimension ref="A2:AF117"/>
  <sheetViews>
    <sheetView zoomScale="51" zoomScaleNormal="51" workbookViewId="0">
      <selection activeCell="D10" sqref="D10"/>
    </sheetView>
  </sheetViews>
  <sheetFormatPr defaultRowHeight="14.5"/>
  <cols>
    <col min="1" max="1" width="17.58203125" bestFit="1" customWidth="1"/>
    <col min="2" max="2" width="20.1640625" bestFit="1" customWidth="1"/>
    <col min="3" max="3" width="27.1640625" bestFit="1" customWidth="1"/>
    <col min="4" max="4" width="38" bestFit="1" customWidth="1"/>
    <col min="5" max="5" width="16.83203125" customWidth="1"/>
    <col min="6" max="6" width="20.6640625" bestFit="1" customWidth="1"/>
    <col min="7" max="7" width="20.1640625" bestFit="1" customWidth="1"/>
    <col min="8" max="8" width="21.6640625" bestFit="1" customWidth="1"/>
    <col min="9" max="9" width="20.6640625" bestFit="1" customWidth="1"/>
    <col min="10" max="10" width="18.83203125" bestFit="1" customWidth="1"/>
    <col min="11" max="11" width="25.9140625" bestFit="1" customWidth="1"/>
    <col min="12" max="12" width="13.5" bestFit="1" customWidth="1"/>
    <col min="13" max="13" width="14.1640625" bestFit="1" customWidth="1"/>
    <col min="14" max="14" width="12.6640625" bestFit="1" customWidth="1"/>
    <col min="15" max="15" width="19" bestFit="1" customWidth="1"/>
    <col min="16" max="16" width="20.1640625" bestFit="1" customWidth="1"/>
    <col min="17" max="17" width="20.6640625" bestFit="1" customWidth="1"/>
    <col min="18" max="19" width="10.6640625" bestFit="1" customWidth="1"/>
    <col min="20" max="20" width="13.5" bestFit="1" customWidth="1"/>
    <col min="21" max="23" width="13.83203125" bestFit="1" customWidth="1"/>
    <col min="24" max="24" width="16.75" bestFit="1" customWidth="1"/>
    <col min="28" max="28" width="16.4140625" customWidth="1"/>
    <col min="29" max="29" width="14.9140625" bestFit="1" customWidth="1"/>
    <col min="30" max="30" width="20.1640625" bestFit="1" customWidth="1"/>
    <col min="31" max="31" width="21.6640625" bestFit="1" customWidth="1"/>
    <col min="32" max="32" width="27.1640625" bestFit="1" customWidth="1"/>
  </cols>
  <sheetData>
    <row r="2" spans="1:16">
      <c r="M2" s="9" t="s">
        <v>3</v>
      </c>
      <c r="N2" t="s">
        <v>107</v>
      </c>
      <c r="O2" t="s">
        <v>110</v>
      </c>
      <c r="P2" t="s">
        <v>111</v>
      </c>
    </row>
    <row r="3" spans="1:16">
      <c r="A3" s="9" t="s">
        <v>6</v>
      </c>
      <c r="B3" t="s">
        <v>129</v>
      </c>
      <c r="C3" t="s">
        <v>130</v>
      </c>
      <c r="D3" t="s">
        <v>131</v>
      </c>
      <c r="M3" s="10" t="s">
        <v>30</v>
      </c>
      <c r="N3" s="5">
        <v>720</v>
      </c>
      <c r="O3" s="35">
        <v>4</v>
      </c>
      <c r="P3" s="11">
        <v>0.528052805280528</v>
      </c>
    </row>
    <row r="4" spans="1:16">
      <c r="A4" s="10" t="s">
        <v>14</v>
      </c>
      <c r="B4" s="5">
        <v>1363.5</v>
      </c>
      <c r="C4" s="35">
        <v>13</v>
      </c>
      <c r="D4" s="11">
        <v>1</v>
      </c>
      <c r="M4" s="10" t="s">
        <v>45</v>
      </c>
      <c r="N4" s="5">
        <v>325</v>
      </c>
      <c r="O4" s="35">
        <v>5</v>
      </c>
      <c r="P4" s="11">
        <v>0.23835716905023835</v>
      </c>
    </row>
    <row r="5" spans="1:16">
      <c r="A5" s="10" t="s">
        <v>100</v>
      </c>
      <c r="B5" s="5">
        <v>1363.5</v>
      </c>
      <c r="C5" s="35">
        <v>13</v>
      </c>
      <c r="D5" s="11">
        <v>1</v>
      </c>
      <c r="M5" s="10" t="s">
        <v>13</v>
      </c>
      <c r="N5" s="5">
        <v>318.5</v>
      </c>
      <c r="O5" s="35">
        <v>4</v>
      </c>
      <c r="P5" s="11">
        <v>0.23359002566923359</v>
      </c>
    </row>
    <row r="6" spans="1:16">
      <c r="M6" s="10" t="s">
        <v>100</v>
      </c>
      <c r="N6" s="5">
        <v>1363.5</v>
      </c>
      <c r="O6" s="35">
        <v>13</v>
      </c>
      <c r="P6" s="11">
        <v>1</v>
      </c>
    </row>
    <row r="25" spans="1:3">
      <c r="A25" s="9" t="s">
        <v>9</v>
      </c>
      <c r="B25" t="s">
        <v>107</v>
      </c>
      <c r="C25" t="s">
        <v>111</v>
      </c>
    </row>
    <row r="26" spans="1:3">
      <c r="A26" s="10" t="s">
        <v>22</v>
      </c>
      <c r="B26" s="5">
        <v>816</v>
      </c>
      <c r="C26" s="11">
        <v>0.59845984598459845</v>
      </c>
    </row>
    <row r="27" spans="1:3">
      <c r="A27" s="10" t="s">
        <v>17</v>
      </c>
      <c r="B27" s="5">
        <v>227.5</v>
      </c>
      <c r="C27" s="11">
        <v>0.16685001833516686</v>
      </c>
    </row>
    <row r="28" spans="1:3">
      <c r="A28" s="10" t="s">
        <v>46</v>
      </c>
      <c r="B28" s="5">
        <v>200</v>
      </c>
      <c r="C28" s="11">
        <v>0.14668133480014667</v>
      </c>
    </row>
    <row r="29" spans="1:3">
      <c r="A29" s="10" t="s">
        <v>53</v>
      </c>
      <c r="B29" s="5">
        <v>120</v>
      </c>
      <c r="C29" s="11">
        <v>8.8008800880088014E-2</v>
      </c>
    </row>
    <row r="30" spans="1:3">
      <c r="A30" s="10" t="s">
        <v>100</v>
      </c>
      <c r="B30" s="5">
        <v>1363.5</v>
      </c>
      <c r="C30" s="11">
        <v>1</v>
      </c>
    </row>
    <row r="37" spans="2:32">
      <c r="AC37" s="9" t="s">
        <v>7</v>
      </c>
      <c r="AD37" t="s">
        <v>107</v>
      </c>
      <c r="AE37" t="s">
        <v>110</v>
      </c>
      <c r="AF37" t="s">
        <v>111</v>
      </c>
    </row>
    <row r="38" spans="2:32">
      <c r="AC38" s="10" t="s">
        <v>15</v>
      </c>
      <c r="AD38" s="5">
        <v>1363.5</v>
      </c>
      <c r="AE38" s="35">
        <v>13</v>
      </c>
      <c r="AF38" s="11">
        <v>1</v>
      </c>
    </row>
    <row r="39" spans="2:32">
      <c r="AC39" s="10" t="s">
        <v>100</v>
      </c>
      <c r="AD39" s="5">
        <v>1363.5</v>
      </c>
      <c r="AE39" s="35">
        <v>13</v>
      </c>
      <c r="AF39" s="11">
        <v>1</v>
      </c>
    </row>
    <row r="44" spans="2:32">
      <c r="B44" s="9" t="s">
        <v>1</v>
      </c>
      <c r="C44" t="s">
        <v>107</v>
      </c>
      <c r="D44" t="s">
        <v>111</v>
      </c>
    </row>
    <row r="45" spans="2:32">
      <c r="B45" s="10" t="s">
        <v>136</v>
      </c>
      <c r="C45" s="5">
        <v>125</v>
      </c>
      <c r="D45" s="11">
        <v>9.1675834250091681E-2</v>
      </c>
    </row>
    <row r="46" spans="2:32">
      <c r="B46" s="12" t="s">
        <v>137</v>
      </c>
      <c r="C46" s="5">
        <v>125</v>
      </c>
      <c r="D46" s="11">
        <v>9.1675834250091681E-2</v>
      </c>
    </row>
    <row r="47" spans="2:32">
      <c r="B47" s="13">
        <v>45691</v>
      </c>
      <c r="C47" s="5">
        <v>125</v>
      </c>
      <c r="D47" s="11">
        <v>9.1675834250091681E-2</v>
      </c>
    </row>
    <row r="48" spans="2:32">
      <c r="B48" s="10" t="s">
        <v>112</v>
      </c>
      <c r="C48" s="5">
        <v>1047.5</v>
      </c>
      <c r="D48" s="11">
        <v>0.76824349101576828</v>
      </c>
    </row>
    <row r="49" spans="2:15">
      <c r="B49" s="12" t="s">
        <v>113</v>
      </c>
      <c r="C49" s="5">
        <v>50</v>
      </c>
      <c r="D49" s="11">
        <v>3.6670333700036667E-2</v>
      </c>
      <c r="L49" s="9" t="s">
        <v>1</v>
      </c>
      <c r="M49" t="s">
        <v>127</v>
      </c>
      <c r="N49" t="s">
        <v>101</v>
      </c>
      <c r="O49" t="s">
        <v>132</v>
      </c>
    </row>
    <row r="50" spans="2:15">
      <c r="B50" s="13">
        <v>45717</v>
      </c>
      <c r="C50" s="5">
        <v>50</v>
      </c>
      <c r="D50" s="11">
        <v>3.6670333700036667E-2</v>
      </c>
      <c r="F50" s="9" t="s">
        <v>2</v>
      </c>
      <c r="G50" t="s">
        <v>107</v>
      </c>
      <c r="H50" t="s">
        <v>110</v>
      </c>
      <c r="I50" t="s">
        <v>111</v>
      </c>
      <c r="L50" s="10" t="s">
        <v>136</v>
      </c>
      <c r="M50" s="35">
        <v>1</v>
      </c>
      <c r="N50" s="35">
        <v>5</v>
      </c>
      <c r="O50" s="11">
        <v>0.15625</v>
      </c>
    </row>
    <row r="51" spans="2:15">
      <c r="B51" s="12" t="s">
        <v>114</v>
      </c>
      <c r="C51" s="5">
        <v>120</v>
      </c>
      <c r="D51" s="11">
        <v>8.8008800880088014E-2</v>
      </c>
      <c r="F51" s="10" t="s">
        <v>27</v>
      </c>
      <c r="G51" s="5">
        <v>936</v>
      </c>
      <c r="H51" s="35">
        <v>6</v>
      </c>
      <c r="I51" s="11">
        <v>0.68646864686468645</v>
      </c>
      <c r="L51" s="12" t="s">
        <v>137</v>
      </c>
      <c r="M51" s="35">
        <v>1</v>
      </c>
      <c r="N51" s="35">
        <v>5</v>
      </c>
      <c r="O51" s="11">
        <v>0.15625</v>
      </c>
    </row>
    <row r="52" spans="2:15">
      <c r="B52" s="13">
        <v>45723</v>
      </c>
      <c r="C52" s="5">
        <v>120</v>
      </c>
      <c r="D52" s="11">
        <v>8.8008800880088014E-2</v>
      </c>
      <c r="F52" s="10" t="s">
        <v>44</v>
      </c>
      <c r="G52" s="5">
        <v>402.5</v>
      </c>
      <c r="H52" s="35">
        <v>6</v>
      </c>
      <c r="I52" s="11">
        <v>0.2951961862852952</v>
      </c>
      <c r="L52" s="10" t="s">
        <v>112</v>
      </c>
      <c r="M52" s="35">
        <v>10</v>
      </c>
      <c r="N52" s="35">
        <v>21</v>
      </c>
      <c r="O52" s="11">
        <v>0.65625</v>
      </c>
    </row>
    <row r="53" spans="2:15">
      <c r="B53" s="12" t="s">
        <v>115</v>
      </c>
      <c r="C53" s="5">
        <v>25</v>
      </c>
      <c r="D53" s="11">
        <v>1.8335166850018333E-2</v>
      </c>
      <c r="F53" s="10" t="s">
        <v>93</v>
      </c>
      <c r="G53" s="5">
        <v>25</v>
      </c>
      <c r="H53" s="35">
        <v>1</v>
      </c>
      <c r="I53" s="11">
        <v>1.8335166850018333E-2</v>
      </c>
      <c r="L53" s="12" t="s">
        <v>113</v>
      </c>
      <c r="M53" s="35">
        <v>1</v>
      </c>
      <c r="N53" s="35">
        <v>2</v>
      </c>
      <c r="O53" s="11">
        <v>6.25E-2</v>
      </c>
    </row>
    <row r="54" spans="2:15">
      <c r="B54" s="13">
        <v>45725</v>
      </c>
      <c r="C54" s="5">
        <v>25</v>
      </c>
      <c r="D54" s="11">
        <v>1.8335166850018333E-2</v>
      </c>
      <c r="F54" s="10" t="s">
        <v>100</v>
      </c>
      <c r="G54" s="5">
        <v>1363.5</v>
      </c>
      <c r="H54" s="35">
        <v>13</v>
      </c>
      <c r="I54" s="11">
        <v>1</v>
      </c>
      <c r="L54" s="12" t="s">
        <v>114</v>
      </c>
      <c r="M54" s="35">
        <v>1</v>
      </c>
      <c r="N54" s="35">
        <v>2</v>
      </c>
      <c r="O54" s="11">
        <v>6.25E-2</v>
      </c>
    </row>
    <row r="55" spans="2:15">
      <c r="B55" s="12" t="s">
        <v>116</v>
      </c>
      <c r="C55" s="5">
        <v>91</v>
      </c>
      <c r="D55" s="11">
        <v>6.6740007334066737E-2</v>
      </c>
      <c r="L55" s="12" t="s">
        <v>115</v>
      </c>
      <c r="M55" s="35">
        <v>1</v>
      </c>
      <c r="N55" s="35">
        <v>1</v>
      </c>
      <c r="O55" s="11">
        <v>3.125E-2</v>
      </c>
    </row>
    <row r="56" spans="2:15">
      <c r="B56" s="13">
        <v>45729</v>
      </c>
      <c r="C56" s="5">
        <v>91</v>
      </c>
      <c r="D56" s="11">
        <v>6.6740007334066737E-2</v>
      </c>
      <c r="L56" s="12" t="s">
        <v>116</v>
      </c>
      <c r="M56" s="35">
        <v>1</v>
      </c>
      <c r="N56" s="35">
        <v>2</v>
      </c>
      <c r="O56" s="11">
        <v>6.25E-2</v>
      </c>
    </row>
    <row r="57" spans="2:15">
      <c r="B57" s="12" t="s">
        <v>117</v>
      </c>
      <c r="C57" s="5">
        <v>25</v>
      </c>
      <c r="D57" s="11">
        <v>1.8335166850018333E-2</v>
      </c>
      <c r="L57" s="12" t="s">
        <v>117</v>
      </c>
      <c r="M57" s="35">
        <v>1</v>
      </c>
      <c r="N57" s="35">
        <v>1</v>
      </c>
      <c r="O57" s="11">
        <v>3.125E-2</v>
      </c>
    </row>
    <row r="58" spans="2:15">
      <c r="B58" s="13">
        <v>45730</v>
      </c>
      <c r="C58" s="5">
        <v>25</v>
      </c>
      <c r="D58" s="11">
        <v>1.8335166850018333E-2</v>
      </c>
      <c r="L58" s="12" t="s">
        <v>118</v>
      </c>
      <c r="M58" s="35">
        <v>1</v>
      </c>
      <c r="N58" s="35">
        <v>2</v>
      </c>
      <c r="O58" s="11">
        <v>6.25E-2</v>
      </c>
    </row>
    <row r="59" spans="2:15">
      <c r="B59" s="12" t="s">
        <v>118</v>
      </c>
      <c r="C59" s="5">
        <v>120</v>
      </c>
      <c r="D59" s="11">
        <v>8.8008800880088014E-2</v>
      </c>
      <c r="L59" s="12" t="s">
        <v>119</v>
      </c>
      <c r="M59" s="35">
        <v>1</v>
      </c>
      <c r="N59" s="35">
        <v>1</v>
      </c>
      <c r="O59" s="11">
        <v>3.125E-2</v>
      </c>
    </row>
    <row r="60" spans="2:15">
      <c r="B60" s="13">
        <v>45733</v>
      </c>
      <c r="C60" s="5">
        <v>120</v>
      </c>
      <c r="D60" s="11">
        <v>8.8008800880088014E-2</v>
      </c>
      <c r="L60" s="12" t="s">
        <v>120</v>
      </c>
      <c r="M60" s="35">
        <v>1</v>
      </c>
      <c r="N60" s="35">
        <v>5</v>
      </c>
      <c r="O60" s="11">
        <v>0.15625</v>
      </c>
    </row>
    <row r="61" spans="2:15">
      <c r="B61" s="12" t="s">
        <v>119</v>
      </c>
      <c r="C61" s="5">
        <v>45.5</v>
      </c>
      <c r="D61" s="11">
        <v>3.3370003667033368E-2</v>
      </c>
      <c r="L61" s="12" t="s">
        <v>121</v>
      </c>
      <c r="M61" s="35">
        <v>1</v>
      </c>
      <c r="N61" s="35">
        <v>2</v>
      </c>
      <c r="O61" s="11">
        <v>6.25E-2</v>
      </c>
    </row>
    <row r="62" spans="2:15">
      <c r="B62" s="13">
        <v>45735</v>
      </c>
      <c r="C62" s="5">
        <v>45.5</v>
      </c>
      <c r="D62" s="11">
        <v>3.3370003667033368E-2</v>
      </c>
      <c r="L62" s="12" t="s">
        <v>122</v>
      </c>
      <c r="M62" s="35">
        <v>1</v>
      </c>
      <c r="N62" s="35">
        <v>3</v>
      </c>
      <c r="O62" s="11">
        <v>9.375E-2</v>
      </c>
    </row>
    <row r="63" spans="2:15">
      <c r="B63" s="12" t="s">
        <v>120</v>
      </c>
      <c r="C63" s="5">
        <v>300</v>
      </c>
      <c r="D63" s="11">
        <v>0.22002200220022003</v>
      </c>
      <c r="L63" s="10" t="s">
        <v>138</v>
      </c>
      <c r="M63" s="35">
        <v>1</v>
      </c>
      <c r="N63" s="35">
        <v>2</v>
      </c>
      <c r="O63" s="11">
        <v>6.25E-2</v>
      </c>
    </row>
    <row r="64" spans="2:15">
      <c r="B64" s="13">
        <v>45736</v>
      </c>
      <c r="C64" s="5">
        <v>300</v>
      </c>
      <c r="D64" s="11">
        <v>0.22002200220022003</v>
      </c>
      <c r="L64" s="12" t="s">
        <v>139</v>
      </c>
      <c r="M64" s="35">
        <v>1</v>
      </c>
      <c r="N64" s="35">
        <v>2</v>
      </c>
      <c r="O64" s="11">
        <v>6.25E-2</v>
      </c>
    </row>
    <row r="65" spans="2:15">
      <c r="B65" s="12" t="s">
        <v>121</v>
      </c>
      <c r="C65" s="5">
        <v>91</v>
      </c>
      <c r="D65" s="11">
        <v>6.6740007334066737E-2</v>
      </c>
      <c r="L65" s="10" t="s">
        <v>140</v>
      </c>
      <c r="M65" s="35">
        <v>1</v>
      </c>
      <c r="N65" s="35">
        <v>4</v>
      </c>
      <c r="O65" s="11">
        <v>0.125</v>
      </c>
    </row>
    <row r="66" spans="2:15">
      <c r="B66" s="13">
        <v>45739</v>
      </c>
      <c r="C66" s="5">
        <v>91</v>
      </c>
      <c r="D66" s="11">
        <v>6.6740007334066737E-2</v>
      </c>
      <c r="L66" s="12" t="s">
        <v>141</v>
      </c>
      <c r="M66" s="35">
        <v>1</v>
      </c>
      <c r="N66" s="35">
        <v>4</v>
      </c>
      <c r="O66" s="11">
        <v>0.125</v>
      </c>
    </row>
    <row r="67" spans="2:15">
      <c r="B67" s="12" t="s">
        <v>122</v>
      </c>
      <c r="C67" s="5">
        <v>180</v>
      </c>
      <c r="D67" s="11">
        <v>0.132013201320132</v>
      </c>
      <c r="L67" s="10" t="s">
        <v>100</v>
      </c>
      <c r="M67" s="35">
        <v>13</v>
      </c>
      <c r="N67" s="35">
        <v>32</v>
      </c>
      <c r="O67" s="11">
        <v>1</v>
      </c>
    </row>
    <row r="68" spans="2:15">
      <c r="B68" s="13">
        <v>45740</v>
      </c>
      <c r="C68" s="5">
        <v>180</v>
      </c>
      <c r="D68" s="11">
        <v>0.132013201320132</v>
      </c>
    </row>
    <row r="69" spans="2:15">
      <c r="B69" s="10" t="s">
        <v>138</v>
      </c>
      <c r="C69" s="5">
        <v>91</v>
      </c>
      <c r="D69" s="11">
        <v>6.6740007334066737E-2</v>
      </c>
    </row>
    <row r="70" spans="2:15">
      <c r="B70" s="12" t="s">
        <v>139</v>
      </c>
      <c r="C70" s="5">
        <v>91</v>
      </c>
      <c r="D70" s="11">
        <v>6.6740007334066737E-2</v>
      </c>
    </row>
    <row r="71" spans="2:15">
      <c r="B71" s="13">
        <v>45750</v>
      </c>
      <c r="C71" s="5">
        <v>91</v>
      </c>
      <c r="D71" s="11">
        <v>6.6740007334066737E-2</v>
      </c>
    </row>
    <row r="72" spans="2:15">
      <c r="B72" s="10" t="s">
        <v>140</v>
      </c>
      <c r="C72" s="5">
        <v>100</v>
      </c>
      <c r="D72" s="11">
        <v>7.3340667400073334E-2</v>
      </c>
    </row>
    <row r="73" spans="2:15">
      <c r="B73" s="12" t="s">
        <v>141</v>
      </c>
      <c r="C73" s="5">
        <v>100</v>
      </c>
      <c r="D73" s="11">
        <v>7.3340667400073334E-2</v>
      </c>
    </row>
    <row r="74" spans="2:15">
      <c r="B74" s="13">
        <v>45964</v>
      </c>
      <c r="C74" s="5">
        <v>100</v>
      </c>
      <c r="D74" s="11">
        <v>7.3340667400073334E-2</v>
      </c>
    </row>
    <row r="75" spans="2:15">
      <c r="B75" s="10" t="s">
        <v>100</v>
      </c>
      <c r="C75" s="5">
        <v>1363.5</v>
      </c>
      <c r="D75" s="11">
        <v>1</v>
      </c>
    </row>
    <row r="91" spans="16:20">
      <c r="P91" s="9" t="s">
        <v>107</v>
      </c>
      <c r="Q91" s="9" t="s">
        <v>98</v>
      </c>
    </row>
    <row r="92" spans="16:20">
      <c r="P92" s="9" t="s">
        <v>99</v>
      </c>
      <c r="Q92" t="s">
        <v>45</v>
      </c>
      <c r="R92" t="s">
        <v>13</v>
      </c>
      <c r="S92" t="s">
        <v>30</v>
      </c>
      <c r="T92" t="s">
        <v>100</v>
      </c>
    </row>
    <row r="93" spans="16:20">
      <c r="P93" s="10" t="s">
        <v>14</v>
      </c>
      <c r="Q93" s="5">
        <v>325</v>
      </c>
      <c r="R93" s="5">
        <v>318.5</v>
      </c>
      <c r="S93" s="5">
        <v>720</v>
      </c>
      <c r="T93" s="5">
        <v>1363.5</v>
      </c>
    </row>
    <row r="94" spans="16:20">
      <c r="P94" s="10" t="s">
        <v>100</v>
      </c>
      <c r="Q94" s="5">
        <v>325</v>
      </c>
      <c r="R94" s="5">
        <v>318.5</v>
      </c>
      <c r="S94" s="5">
        <v>720</v>
      </c>
      <c r="T94" s="5">
        <v>1363.5</v>
      </c>
    </row>
    <row r="113" spans="9:12">
      <c r="I113" s="9" t="s">
        <v>2</v>
      </c>
      <c r="J113" t="s">
        <v>97</v>
      </c>
      <c r="K113" t="s">
        <v>128</v>
      </c>
      <c r="L113" t="s">
        <v>126</v>
      </c>
    </row>
    <row r="114" spans="9:12">
      <c r="I114" s="10" t="s">
        <v>93</v>
      </c>
      <c r="J114" s="5">
        <v>25</v>
      </c>
      <c r="K114" s="11">
        <v>4.5703839122486288E-2</v>
      </c>
      <c r="L114" s="35">
        <v>1</v>
      </c>
    </row>
    <row r="115" spans="9:12">
      <c r="I115" s="10" t="s">
        <v>44</v>
      </c>
      <c r="J115" s="5">
        <v>211.5</v>
      </c>
      <c r="K115" s="11">
        <v>0.38665447897623401</v>
      </c>
      <c r="L115" s="35">
        <v>6</v>
      </c>
    </row>
    <row r="116" spans="9:12">
      <c r="I116" s="10" t="s">
        <v>27</v>
      </c>
      <c r="J116" s="5">
        <v>310.5</v>
      </c>
      <c r="K116" s="11">
        <v>0.56764168190127973</v>
      </c>
      <c r="L116" s="35">
        <v>6</v>
      </c>
    </row>
    <row r="117" spans="9:12">
      <c r="I117" s="10" t="s">
        <v>100</v>
      </c>
      <c r="J117" s="5">
        <v>547</v>
      </c>
      <c r="K117" s="11">
        <v>1</v>
      </c>
      <c r="L117" s="35">
        <v>13</v>
      </c>
    </row>
  </sheetData>
  <sheetProtection sheet="1" objects="1" scenarios="1" pivotTables="0"/>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943F-916F-401A-A2BD-C1CE822AAB39}">
  <dimension ref="A1:L11"/>
  <sheetViews>
    <sheetView showGridLines="0" tabSelected="1" zoomScale="42" zoomScaleNormal="70" workbookViewId="0">
      <selection activeCell="K5" sqref="K5"/>
    </sheetView>
  </sheetViews>
  <sheetFormatPr defaultRowHeight="14.5"/>
  <cols>
    <col min="1" max="1" width="15.6640625" customWidth="1"/>
    <col min="2" max="2" width="10.75" customWidth="1"/>
    <col min="4" max="4" width="17.75" customWidth="1"/>
    <col min="5" max="5" width="10.5" customWidth="1"/>
    <col min="7" max="7" width="31.08203125" customWidth="1"/>
    <col min="10" max="10" width="20.6640625" customWidth="1"/>
    <col min="11" max="11" width="17.58203125" customWidth="1"/>
    <col min="12" max="12" width="14.33203125" customWidth="1"/>
    <col min="14" max="14" width="20" customWidth="1"/>
    <col min="15" max="15" width="15.33203125" customWidth="1"/>
    <col min="19" max="21" width="8"/>
    <col min="22" max="22" width="5.33203125" customWidth="1"/>
    <col min="23" max="23" width="19.5" customWidth="1"/>
    <col min="24" max="24" width="12.9140625" customWidth="1"/>
    <col min="25" max="25" width="8"/>
    <col min="26" max="26" width="22.1640625" customWidth="1"/>
    <col min="27" max="28" width="8"/>
    <col min="29" max="29" width="17.6640625" customWidth="1"/>
    <col min="30" max="31" width="8"/>
    <col min="32" max="32" width="17.75" customWidth="1"/>
    <col min="33" max="33" width="14.83203125" customWidth="1"/>
    <col min="34" max="34" width="14.58203125" bestFit="1" customWidth="1"/>
    <col min="35" max="35" width="8"/>
    <col min="36" max="36" width="17.33203125" customWidth="1"/>
    <col min="37" max="37" width="19.1640625" customWidth="1"/>
  </cols>
  <sheetData>
    <row r="1" spans="1:12" ht="31">
      <c r="D1" s="33" t="s">
        <v>135</v>
      </c>
      <c r="E1" s="34"/>
      <c r="F1" s="34"/>
      <c r="G1" s="34"/>
      <c r="H1" s="34"/>
      <c r="I1" s="34"/>
    </row>
    <row r="2" spans="1:12" ht="15" thickBot="1">
      <c r="C2" s="16"/>
      <c r="F2" s="16"/>
      <c r="I2" s="16"/>
    </row>
    <row r="3" spans="1:12" ht="29" thickBot="1">
      <c r="A3" s="14" t="str">
        <f>CleanSalesTable!N12</f>
        <v>TotalOrders</v>
      </c>
      <c r="B3" s="15">
        <f>CleanSalesTable!O12</f>
        <v>30</v>
      </c>
      <c r="C3" s="16"/>
      <c r="D3" s="17" t="str">
        <f>CleanSalesTable!N13</f>
        <v>TotalRevenue</v>
      </c>
      <c r="E3" s="18">
        <f>CleanSalesTable!O13</f>
        <v>5827.5</v>
      </c>
      <c r="F3" s="16"/>
      <c r="G3" s="19" t="str">
        <f>CleanSalesTable!N14</f>
        <v>AvgOrderValue</v>
      </c>
      <c r="H3" s="20">
        <f>CleanSalesTable!O14</f>
        <v>194.25</v>
      </c>
      <c r="I3" s="16"/>
      <c r="J3" s="21" t="s">
        <v>133</v>
      </c>
      <c r="K3" s="22">
        <f>CleanSalesTable!P15</f>
        <v>2437.5</v>
      </c>
      <c r="L3" s="23"/>
    </row>
    <row r="4" spans="1:12" ht="26">
      <c r="A4" s="16"/>
      <c r="B4" s="16"/>
      <c r="C4" s="16"/>
      <c r="D4" s="16"/>
      <c r="E4" s="16"/>
      <c r="F4" s="16"/>
      <c r="G4" s="16"/>
      <c r="H4" s="16"/>
      <c r="I4" s="16"/>
      <c r="J4" s="24"/>
      <c r="K4" s="25" t="str">
        <f>CleanSalesTable!P16</f>
        <v>Widget A</v>
      </c>
      <c r="L4" s="26"/>
    </row>
    <row r="5" spans="1:12" ht="18.5">
      <c r="A5" s="16"/>
      <c r="B5" s="16"/>
      <c r="C5" s="16"/>
      <c r="D5" s="16"/>
      <c r="E5" s="16"/>
      <c r="F5" s="16"/>
      <c r="G5" s="16"/>
      <c r="H5" s="16"/>
      <c r="J5" s="27" t="s">
        <v>134</v>
      </c>
      <c r="K5" s="28" t="str">
        <f>CleanSalesTable!N15</f>
        <v>Widget A</v>
      </c>
      <c r="L5" s="29">
        <f>CleanSalesTable!O15</f>
        <v>2437.5</v>
      </c>
    </row>
    <row r="6" spans="1:12" ht="18.5">
      <c r="A6" s="16"/>
      <c r="B6" s="16"/>
      <c r="C6" s="16"/>
      <c r="D6" s="16"/>
      <c r="E6" s="16"/>
      <c r="F6" s="16"/>
      <c r="G6" s="16"/>
      <c r="H6" s="16"/>
      <c r="J6" s="27"/>
      <c r="K6" s="28" t="str">
        <f>CleanSalesTable!N16</f>
        <v>Widget C</v>
      </c>
      <c r="L6" s="29">
        <f>CleanSalesTable!O16</f>
        <v>1080</v>
      </c>
    </row>
    <row r="7" spans="1:12" ht="18.5">
      <c r="A7" s="16"/>
      <c r="B7" s="16"/>
      <c r="C7" s="16"/>
      <c r="D7" s="16"/>
      <c r="E7" s="16"/>
      <c r="F7" s="16"/>
      <c r="G7" s="16"/>
      <c r="H7" s="16"/>
      <c r="J7" s="27"/>
      <c r="K7" s="28" t="str">
        <f>CleanSalesTable!N17</f>
        <v>Widget B</v>
      </c>
      <c r="L7" s="29">
        <f>CleanSalesTable!O17</f>
        <v>910</v>
      </c>
    </row>
    <row r="8" spans="1:12" ht="18.5">
      <c r="A8" s="16"/>
      <c r="B8" s="16"/>
      <c r="C8" s="16"/>
      <c r="D8" s="16"/>
      <c r="E8" s="16"/>
      <c r="F8" s="16"/>
      <c r="G8" s="16"/>
      <c r="H8" s="16"/>
      <c r="J8" s="27"/>
      <c r="K8" s="28" t="str">
        <f>CleanSalesTable!N18</f>
        <v>Widget D</v>
      </c>
      <c r="L8" s="29">
        <f>CleanSalesTable!O18</f>
        <v>500</v>
      </c>
    </row>
    <row r="9" spans="1:12" ht="18.5">
      <c r="J9" s="27"/>
      <c r="K9" s="28" t="str">
        <f>CleanSalesTable!N19</f>
        <v>Widget E</v>
      </c>
      <c r="L9" s="29">
        <f>CleanSalesTable!O19</f>
        <v>400</v>
      </c>
    </row>
    <row r="10" spans="1:12" ht="18.5">
      <c r="J10" s="27"/>
      <c r="K10" s="28" t="str">
        <f>CleanSalesTable!N20</f>
        <v>Widget G</v>
      </c>
      <c r="L10" s="29">
        <f>CleanSalesTable!O20</f>
        <v>300</v>
      </c>
    </row>
    <row r="11" spans="1:12" ht="19" thickBot="1">
      <c r="J11" s="30"/>
      <c r="K11" s="31" t="str">
        <f>CleanSalesTable!N21</f>
        <v>Widget F</v>
      </c>
      <c r="L11" s="32">
        <f>CleanSalesTable!O21</f>
        <v>200</v>
      </c>
    </row>
  </sheetData>
  <sheetProtection sheet="1" objects="1" scenarios="1" pivotTables="0"/>
  <mergeCells count="1">
    <mergeCell ref="D1:I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MessySalesTable</vt:lpstr>
      <vt:lpstr>CleanSalesTable</vt:lpstr>
      <vt:lpstr>SalesPivotTable</vt:lpstr>
      <vt:lpstr>SalesDashboard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akporarhe</cp:lastModifiedBy>
  <dcterms:created xsi:type="dcterms:W3CDTF">2025-12-05T18:24:54Z</dcterms:created>
  <dcterms:modified xsi:type="dcterms:W3CDTF">2025-12-17T15:55:21Z</dcterms:modified>
</cp:coreProperties>
</file>